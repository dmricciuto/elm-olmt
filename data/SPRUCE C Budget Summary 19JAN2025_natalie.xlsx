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9g/ORNL Dropbox/Natalie Griffiths/DropDocs/Spruce Project/Data/C budget/"/>
    </mc:Choice>
  </mc:AlternateContent>
  <xr:revisionPtr revIDLastSave="0" documentId="8_{81EAB90E-77CA-4786-8C22-C46EF4C8A30F}" xr6:coauthVersionLast="47" xr6:coauthVersionMax="47" xr10:uidLastSave="{00000000-0000-0000-0000-000000000000}"/>
  <bookViews>
    <workbookView xWindow="34980" yWindow="500" windowWidth="25440" windowHeight="20240" xr2:uid="{98FE1962-243E-AA4F-B4D0-80F5BBBC9FCC}"/>
  </bookViews>
  <sheets>
    <sheet name="Data By Year" sheetId="1" r:id="rId1"/>
    <sheet name="Sphagnum Prod By Year" sheetId="2" r:id="rId2"/>
  </sheets>
  <definedNames>
    <definedName name="_xlnm.Print_Area" localSheetId="0">'Data By Year'!$A$5:$L$114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9" i="1" l="1"/>
  <c r="E139" i="1"/>
  <c r="F125" i="1"/>
  <c r="E125" i="1"/>
  <c r="F111" i="1"/>
  <c r="E111" i="1"/>
  <c r="E97" i="1"/>
  <c r="F83" i="1"/>
  <c r="E83" i="1"/>
  <c r="F69" i="1"/>
  <c r="E69" i="1"/>
  <c r="F55" i="1"/>
  <c r="E55" i="1"/>
  <c r="F41" i="1"/>
  <c r="E41" i="1"/>
  <c r="F27" i="1"/>
  <c r="E27" i="1"/>
  <c r="U14" i="2"/>
  <c r="U12" i="2"/>
  <c r="U10" i="2"/>
  <c r="U8" i="2"/>
  <c r="U6" i="2"/>
  <c r="T14" i="2"/>
  <c r="T12" i="2"/>
  <c r="T10" i="2"/>
  <c r="T8" i="2"/>
  <c r="T6" i="2"/>
  <c r="S14" i="2"/>
  <c r="S12" i="2"/>
  <c r="S10" i="2"/>
  <c r="S8" i="2"/>
  <c r="S6" i="2"/>
  <c r="R14" i="2"/>
  <c r="R12" i="2"/>
  <c r="R10" i="2"/>
  <c r="R8" i="2"/>
  <c r="R6" i="2"/>
  <c r="Q14" i="2"/>
  <c r="Q12" i="2"/>
  <c r="Q10" i="2"/>
  <c r="Q8" i="2"/>
  <c r="Q6" i="2"/>
  <c r="P14" i="2"/>
  <c r="P12" i="2"/>
  <c r="P10" i="2"/>
  <c r="P8" i="2"/>
  <c r="P6" i="2"/>
  <c r="O14" i="2"/>
  <c r="O12" i="2"/>
  <c r="O10" i="2"/>
  <c r="O8" i="2"/>
  <c r="O6" i="2"/>
  <c r="N14" i="2"/>
  <c r="N12" i="2"/>
  <c r="N10" i="2"/>
  <c r="N8" i="2"/>
  <c r="N6" i="2"/>
  <c r="F95" i="1"/>
  <c r="F96" i="1"/>
  <c r="F94" i="1"/>
  <c r="F93" i="1"/>
  <c r="F92" i="1"/>
  <c r="F91" i="1"/>
  <c r="F90" i="1"/>
  <c r="F89" i="1"/>
  <c r="F88" i="1"/>
  <c r="F87" i="1"/>
  <c r="F97" i="1" s="1"/>
  <c r="F86" i="1"/>
  <c r="F85" i="1"/>
  <c r="H68" i="1"/>
  <c r="L68" i="1" s="1"/>
  <c r="H67" i="1"/>
  <c r="L67" i="1" s="1"/>
  <c r="H66" i="1"/>
  <c r="L66" i="1" s="1"/>
  <c r="H65" i="1"/>
  <c r="L65" i="1" s="1"/>
  <c r="H64" i="1"/>
  <c r="L64" i="1" s="1"/>
  <c r="H63" i="1"/>
  <c r="L63" i="1" s="1"/>
  <c r="H62" i="1"/>
  <c r="L62" i="1" s="1"/>
  <c r="H61" i="1"/>
  <c r="L61" i="1" s="1"/>
  <c r="H60" i="1"/>
  <c r="L60" i="1" s="1"/>
  <c r="H59" i="1"/>
  <c r="L59" i="1" s="1"/>
  <c r="H58" i="1"/>
  <c r="L58" i="1" s="1"/>
  <c r="H57" i="1"/>
  <c r="L57" i="1" s="1"/>
  <c r="L54" i="1"/>
  <c r="L53" i="1"/>
  <c r="L52" i="1"/>
  <c r="L51" i="1"/>
  <c r="L50" i="1"/>
  <c r="L49" i="1"/>
  <c r="L48" i="1"/>
  <c r="L47" i="1"/>
  <c r="L46" i="1"/>
  <c r="L45" i="1"/>
  <c r="L44" i="1"/>
  <c r="L43" i="1"/>
  <c r="L40" i="1"/>
  <c r="L39" i="1"/>
  <c r="L38" i="1"/>
  <c r="L37" i="1"/>
  <c r="L36" i="1"/>
  <c r="L35" i="1"/>
  <c r="L34" i="1"/>
  <c r="L33" i="1"/>
  <c r="L32" i="1"/>
  <c r="L31" i="1"/>
  <c r="L30" i="1"/>
  <c r="L29" i="1"/>
  <c r="H74" i="1" l="1"/>
  <c r="L74" i="1" s="1"/>
  <c r="H71" i="1"/>
  <c r="H85" i="1"/>
  <c r="L85" i="1" s="1"/>
  <c r="H72" i="1"/>
  <c r="H86" i="1"/>
  <c r="L86" i="1" s="1"/>
  <c r="H73" i="1"/>
  <c r="H88" i="1"/>
  <c r="L88" i="1" s="1"/>
  <c r="H75" i="1"/>
  <c r="H89" i="1"/>
  <c r="L89" i="1" s="1"/>
  <c r="H76" i="1"/>
  <c r="H90" i="1" s="1"/>
  <c r="L90" i="1" s="1"/>
  <c r="H77" i="1"/>
  <c r="H91" i="1"/>
  <c r="L91" i="1" s="1"/>
  <c r="H78" i="1"/>
  <c r="H92" i="1"/>
  <c r="L92" i="1" s="1"/>
  <c r="H79" i="1"/>
  <c r="H93" i="1" s="1"/>
  <c r="L93" i="1" s="1"/>
  <c r="H80" i="1"/>
  <c r="H94" i="1"/>
  <c r="L94" i="1" s="1"/>
  <c r="H81" i="1"/>
  <c r="H82" i="1"/>
  <c r="H96" i="1" s="1"/>
  <c r="L96" i="1" s="1"/>
  <c r="L73" i="1" l="1"/>
  <c r="H102" i="1"/>
  <c r="L102" i="1" s="1"/>
  <c r="H107" i="1"/>
  <c r="L107" i="1" s="1"/>
  <c r="L79" i="1"/>
  <c r="H103" i="1"/>
  <c r="L103" i="1" s="1"/>
  <c r="L75" i="1"/>
  <c r="L77" i="1"/>
  <c r="H105" i="1"/>
  <c r="L105" i="1" s="1"/>
  <c r="L72" i="1"/>
  <c r="H100" i="1"/>
  <c r="L100" i="1" s="1"/>
  <c r="L81" i="1"/>
  <c r="H87" i="1"/>
  <c r="L87" i="1" s="1"/>
  <c r="L80" i="1"/>
  <c r="H108" i="1"/>
  <c r="L108" i="1" s="1"/>
  <c r="L78" i="1"/>
  <c r="H106" i="1"/>
  <c r="L106" i="1" s="1"/>
  <c r="H110" i="1"/>
  <c r="L110" i="1" s="1"/>
  <c r="L82" i="1"/>
  <c r="H95" i="1"/>
  <c r="L95" i="1" s="1"/>
  <c r="L76" i="1"/>
  <c r="H104" i="1"/>
  <c r="L104" i="1" s="1"/>
  <c r="L71" i="1"/>
  <c r="H99" i="1"/>
  <c r="L99" i="1" s="1"/>
  <c r="H101" i="1" l="1"/>
  <c r="L101" i="1" s="1"/>
  <c r="H109" i="1"/>
  <c r="L109" i="1" s="1"/>
</calcChain>
</file>

<file path=xl/sharedStrings.xml><?xml version="1.0" encoding="utf-8"?>
<sst xmlns="http://schemas.openxmlformats.org/spreadsheetml/2006/main" count="368" uniqueCount="61">
  <si>
    <t xml:space="preserve">NCE Estimates for SPRUCE from Pretreatment periods (2014-2015) through 8 years of warming and eCO2 treatments (2016, 2017, 2018, 2019, 2020, 2021, 2022 and 2023). </t>
  </si>
  <si>
    <t>Paul J. Hanson March 2024</t>
  </si>
  <si>
    <t xml:space="preserve">Estimates shown in red text are pending year-specific data entry or substitutions from prior or bounding years. </t>
  </si>
  <si>
    <t xml:space="preserve">Year and Treetment Temp. Diff. </t>
  </si>
  <si>
    <t>Plot</t>
  </si>
  <si>
    <r>
      <t>CO</t>
    </r>
    <r>
      <rPr>
        <b/>
        <vertAlign val="subscript"/>
        <sz val="14"/>
        <color theme="1"/>
        <rFont val="Times New Roman"/>
        <family val="1"/>
      </rPr>
      <t>2</t>
    </r>
  </si>
  <si>
    <t>Mean Annual Temp. at 2 m</t>
  </si>
  <si>
    <t>ANPP Tree (~48%C)</t>
  </si>
  <si>
    <t>ANPP Shrub (~50%C)</t>
  </si>
  <si>
    <r>
      <t xml:space="preserve">NPP </t>
    </r>
    <r>
      <rPr>
        <b/>
        <i/>
        <sz val="14"/>
        <color theme="1"/>
        <rFont val="Times New Roman"/>
        <family val="1"/>
      </rPr>
      <t>Sphag</t>
    </r>
    <r>
      <rPr>
        <b/>
        <sz val="14"/>
        <color theme="1"/>
        <rFont val="Times New Roman"/>
        <family val="1"/>
      </rPr>
      <t>.</t>
    </r>
  </si>
  <si>
    <t>BNPP Tree &amp; Shrub</t>
  </si>
  <si>
    <r>
      <t>RH</t>
    </r>
    <r>
      <rPr>
        <b/>
        <vertAlign val="subscript"/>
        <sz val="14"/>
        <color theme="1"/>
        <rFont val="Times New Roman"/>
        <family val="1"/>
      </rPr>
      <t>CO2</t>
    </r>
  </si>
  <si>
    <t>CH4</t>
  </si>
  <si>
    <t>DOC Loss</t>
  </si>
  <si>
    <t>NCE</t>
  </si>
  <si>
    <t>#</t>
  </si>
  <si>
    <t>ppm</t>
  </si>
  <si>
    <t>°C</t>
  </si>
  <si>
    <r>
      <t>gC m</t>
    </r>
    <r>
      <rPr>
        <b/>
        <vertAlign val="superscript"/>
        <sz val="18"/>
        <color theme="1"/>
        <rFont val="Times New Roman"/>
        <family val="1"/>
      </rPr>
      <t>-2</t>
    </r>
    <r>
      <rPr>
        <b/>
        <sz val="18"/>
        <color theme="1"/>
        <rFont val="Times New Roman"/>
        <family val="1"/>
      </rPr>
      <t xml:space="preserve"> y</t>
    </r>
    <r>
      <rPr>
        <b/>
        <vertAlign val="superscript"/>
        <sz val="18"/>
        <color theme="1"/>
        <rFont val="Times New Roman"/>
        <family val="1"/>
      </rPr>
      <t>-1</t>
    </r>
  </si>
  <si>
    <t>2014-2015*</t>
  </si>
  <si>
    <t>Amb</t>
  </si>
  <si>
    <t>6.0-6.5</t>
  </si>
  <si>
    <t>73±32</t>
  </si>
  <si>
    <t>104±34</t>
  </si>
  <si>
    <t>208±67</t>
  </si>
  <si>
    <t>3.4±4.8</t>
  </si>
  <si>
    <t>-283±53</t>
  </si>
  <si>
    <t>-16.0±1.8</t>
  </si>
  <si>
    <t>-14.2±0.3</t>
  </si>
  <si>
    <t>75±101</t>
  </si>
  <si>
    <t>2014-2015</t>
  </si>
  <si>
    <t>Ambient</t>
  </si>
  <si>
    <t>EM1</t>
  </si>
  <si>
    <t>ND</t>
  </si>
  <si>
    <t>P07</t>
  </si>
  <si>
    <t>P21</t>
  </si>
  <si>
    <t>NA</t>
  </si>
  <si>
    <t>+0 °C</t>
  </si>
  <si>
    <t>P06</t>
  </si>
  <si>
    <t>P19</t>
  </si>
  <si>
    <t>+2.25 °C</t>
  </si>
  <si>
    <t>P20</t>
  </si>
  <si>
    <t>P11</t>
  </si>
  <si>
    <t>+4.5 °C</t>
  </si>
  <si>
    <t>P13</t>
  </si>
  <si>
    <t>P04</t>
  </si>
  <si>
    <t>+6.75 °C</t>
  </si>
  <si>
    <t>P08</t>
  </si>
  <si>
    <t>P16</t>
  </si>
  <si>
    <t>+9 °C</t>
  </si>
  <si>
    <t>P17</t>
  </si>
  <si>
    <t>P10</t>
  </si>
  <si>
    <t>CO2</t>
  </si>
  <si>
    <t>Y2016</t>
  </si>
  <si>
    <t>Y2017</t>
  </si>
  <si>
    <t>Y2018</t>
  </si>
  <si>
    <t>Y2019</t>
  </si>
  <si>
    <t>Y2020</t>
  </si>
  <si>
    <t>Y2021</t>
  </si>
  <si>
    <t>Y2022</t>
  </si>
  <si>
    <t>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</si>
</sst>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Times New Roman"/>
      <family val="1"/>
    </font>
    <font>
      <b/>
      <vertAlign val="superscript"/>
      <sz val="18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bscript"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9" tint="-0.499984740745262"/>
      <name val="Times New Roman"/>
      <family val="1"/>
    </font>
    <font>
      <sz val="14"/>
      <color rgb="FFFF0000"/>
      <name val="Calibri"/>
      <family val="2"/>
      <scheme val="minor"/>
    </font>
    <font>
      <sz val="14"/>
      <color rgb="FF548235"/>
      <name val="Times New Roman"/>
      <family val="1"/>
    </font>
    <font>
      <b/>
      <sz val="14"/>
      <color rgb="FF548235"/>
      <name val="Times New Roman"/>
      <family val="1"/>
    </font>
    <font>
      <b/>
      <sz val="14"/>
      <color theme="9" tint="-0.499984740745262"/>
      <name val="Times New Roman"/>
      <family val="1"/>
    </font>
    <font>
      <sz val="14"/>
      <color rgb="FFFF0000"/>
      <name val="Times New Roman"/>
      <family val="1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/>
    <xf numFmtId="0" fontId="11" fillId="0" borderId="2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164" fontId="12" fillId="0" borderId="10" xfId="0" applyNumberFormat="1" applyFont="1" applyBorder="1" applyAlignment="1">
      <alignment vertical="center" wrapText="1"/>
    </xf>
    <xf numFmtId="0" fontId="13" fillId="0" borderId="0" xfId="0" applyFont="1"/>
    <xf numFmtId="0" fontId="14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164" fontId="13" fillId="0" borderId="9" xfId="0" applyNumberFormat="1" applyFont="1" applyBorder="1"/>
    <xf numFmtId="0" fontId="13" fillId="0" borderId="9" xfId="0" applyFont="1" applyBorder="1"/>
    <xf numFmtId="0" fontId="16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164" fontId="14" fillId="0" borderId="5" xfId="0" applyNumberFormat="1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vertical="center" wrapText="1"/>
    </xf>
    <xf numFmtId="164" fontId="14" fillId="0" borderId="8" xfId="0" applyNumberFormat="1" applyFont="1" applyBorder="1" applyAlignment="1">
      <alignment vertical="center" wrapText="1"/>
    </xf>
    <xf numFmtId="164" fontId="20" fillId="2" borderId="8" xfId="0" applyNumberFormat="1" applyFont="1" applyFill="1" applyBorder="1" applyAlignment="1">
      <alignment vertical="center" wrapText="1"/>
    </xf>
    <xf numFmtId="164" fontId="8" fillId="0" borderId="5" xfId="0" applyNumberFormat="1" applyFont="1" applyBorder="1" applyAlignment="1">
      <alignment vertical="center" wrapText="1"/>
    </xf>
    <xf numFmtId="164" fontId="14" fillId="0" borderId="3" xfId="0" applyNumberFormat="1" applyFont="1" applyBorder="1" applyAlignment="1">
      <alignment vertical="center" wrapText="1"/>
    </xf>
    <xf numFmtId="164" fontId="20" fillId="2" borderId="3" xfId="0" applyNumberFormat="1" applyFont="1" applyFill="1" applyBorder="1" applyAlignment="1">
      <alignment vertical="center" wrapText="1"/>
    </xf>
    <xf numFmtId="164" fontId="12" fillId="0" borderId="5" xfId="0" applyNumberFormat="1" applyFont="1" applyBorder="1" applyAlignment="1">
      <alignment vertical="center" wrapText="1"/>
    </xf>
    <xf numFmtId="164" fontId="12" fillId="0" borderId="3" xfId="0" applyNumberFormat="1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164" fontId="20" fillId="0" borderId="5" xfId="0" applyNumberFormat="1" applyFont="1" applyBorder="1" applyAlignment="1">
      <alignment vertical="center" wrapText="1"/>
    </xf>
    <xf numFmtId="164" fontId="20" fillId="2" borderId="5" xfId="0" applyNumberFormat="1" applyFont="1" applyFill="1" applyBorder="1" applyAlignment="1">
      <alignment vertical="center" wrapText="1"/>
    </xf>
    <xf numFmtId="164" fontId="13" fillId="0" borderId="0" xfId="0" applyNumberFormat="1" applyFont="1"/>
    <xf numFmtId="164" fontId="13" fillId="0" borderId="7" xfId="0" applyNumberFormat="1" applyFont="1" applyBorder="1"/>
    <xf numFmtId="0" fontId="8" fillId="0" borderId="2" xfId="0" applyFont="1" applyBorder="1" applyAlignment="1">
      <alignment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vertical="center" wrapText="1"/>
    </xf>
    <xf numFmtId="164" fontId="14" fillId="0" borderId="10" xfId="0" applyNumberFormat="1" applyFont="1" applyBorder="1" applyAlignment="1">
      <alignment vertical="center" wrapText="1"/>
    </xf>
    <xf numFmtId="164" fontId="8" fillId="0" borderId="10" xfId="0" applyNumberFormat="1" applyFont="1" applyBorder="1" applyAlignment="1">
      <alignment vertical="center" wrapText="1"/>
    </xf>
    <xf numFmtId="164" fontId="14" fillId="0" borderId="9" xfId="0" applyNumberFormat="1" applyFont="1" applyBorder="1" applyAlignment="1">
      <alignment vertical="center" wrapText="1"/>
    </xf>
    <xf numFmtId="164" fontId="20" fillId="2" borderId="9" xfId="0" applyNumberFormat="1" applyFont="1" applyFill="1" applyBorder="1" applyAlignment="1">
      <alignment vertical="center" wrapText="1"/>
    </xf>
    <xf numFmtId="164" fontId="20" fillId="0" borderId="9" xfId="0" applyNumberFormat="1" applyFont="1" applyBorder="1" applyAlignment="1">
      <alignment vertical="center" wrapText="1"/>
    </xf>
    <xf numFmtId="164" fontId="8" fillId="3" borderId="9" xfId="0" applyNumberFormat="1" applyFont="1" applyFill="1" applyBorder="1" applyAlignment="1">
      <alignment vertical="center" wrapText="1"/>
    </xf>
    <xf numFmtId="164" fontId="11" fillId="0" borderId="10" xfId="0" applyNumberFormat="1" applyFont="1" applyBorder="1" applyAlignment="1">
      <alignment vertical="center" wrapText="1"/>
    </xf>
    <xf numFmtId="164" fontId="16" fillId="2" borderId="9" xfId="0" applyNumberFormat="1" applyFont="1" applyFill="1" applyBorder="1"/>
    <xf numFmtId="164" fontId="16" fillId="0" borderId="9" xfId="0" applyNumberFormat="1" applyFont="1" applyBorder="1"/>
    <xf numFmtId="0" fontId="15" fillId="4" borderId="5" xfId="0" applyFont="1" applyFill="1" applyBorder="1" applyAlignment="1">
      <alignment horizontal="center" vertical="center" wrapText="1"/>
    </xf>
    <xf numFmtId="164" fontId="15" fillId="4" borderId="5" xfId="0" applyNumberFormat="1" applyFont="1" applyFill="1" applyBorder="1" applyAlignment="1">
      <alignment horizontal="center" vertical="center" wrapText="1"/>
    </xf>
    <xf numFmtId="164" fontId="14" fillId="4" borderId="5" xfId="0" applyNumberFormat="1" applyFont="1" applyFill="1" applyBorder="1" applyAlignment="1">
      <alignment vertical="center" wrapText="1"/>
    </xf>
    <xf numFmtId="164" fontId="14" fillId="4" borderId="9" xfId="0" applyNumberFormat="1" applyFont="1" applyFill="1" applyBorder="1" applyAlignment="1">
      <alignment vertical="center" wrapText="1"/>
    </xf>
    <xf numFmtId="164" fontId="12" fillId="4" borderId="9" xfId="0" applyNumberFormat="1" applyFont="1" applyFill="1" applyBorder="1" applyAlignment="1">
      <alignment vertical="center" wrapText="1"/>
    </xf>
    <xf numFmtId="164" fontId="13" fillId="4" borderId="9" xfId="0" applyNumberFormat="1" applyFont="1" applyFill="1" applyBorder="1"/>
    <xf numFmtId="0" fontId="15" fillId="3" borderId="5" xfId="0" applyFont="1" applyFill="1" applyBorder="1" applyAlignment="1">
      <alignment horizontal="center" vertical="center" wrapText="1"/>
    </xf>
    <xf numFmtId="164" fontId="14" fillId="3" borderId="5" xfId="0" applyNumberFormat="1" applyFont="1" applyFill="1" applyBorder="1" applyAlignment="1">
      <alignment vertical="center" wrapText="1"/>
    </xf>
    <xf numFmtId="164" fontId="13" fillId="3" borderId="9" xfId="0" applyNumberFormat="1" applyFont="1" applyFill="1" applyBorder="1"/>
    <xf numFmtId="164" fontId="14" fillId="3" borderId="9" xfId="0" applyNumberFormat="1" applyFont="1" applyFill="1" applyBorder="1" applyAlignment="1">
      <alignment vertical="center" wrapText="1"/>
    </xf>
    <xf numFmtId="0" fontId="21" fillId="3" borderId="9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164" fontId="14" fillId="5" borderId="5" xfId="0" applyNumberFormat="1" applyFont="1" applyFill="1" applyBorder="1" applyAlignment="1">
      <alignment vertical="center" wrapText="1"/>
    </xf>
    <xf numFmtId="164" fontId="14" fillId="5" borderId="9" xfId="0" applyNumberFormat="1" applyFont="1" applyFill="1" applyBorder="1" applyAlignment="1">
      <alignment vertical="center" wrapText="1"/>
    </xf>
    <xf numFmtId="164" fontId="12" fillId="5" borderId="9" xfId="0" applyNumberFormat="1" applyFont="1" applyFill="1" applyBorder="1" applyAlignment="1">
      <alignment vertical="center" wrapText="1"/>
    </xf>
    <xf numFmtId="0" fontId="13" fillId="5" borderId="9" xfId="0" applyFont="1" applyFill="1" applyBorder="1"/>
    <xf numFmtId="0" fontId="3" fillId="0" borderId="9" xfId="0" applyFont="1" applyBorder="1"/>
    <xf numFmtId="0" fontId="0" fillId="2" borderId="9" xfId="0" applyFill="1" applyBorder="1"/>
    <xf numFmtId="164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656933508311463"/>
                  <c:y val="0.20324766695829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By Year'!$D$29:$D$124</c:f>
              <c:numCache>
                <c:formatCode>0.0</c:formatCode>
                <c:ptCount val="96"/>
                <c:pt idx="0">
                  <c:v>6</c:v>
                </c:pt>
                <c:pt idx="1">
                  <c:v>7</c:v>
                </c:pt>
                <c:pt idx="2">
                  <c:v>8.1999999999999993</c:v>
                </c:pt>
                <c:pt idx="3">
                  <c:v>7.9</c:v>
                </c:pt>
                <c:pt idx="4">
                  <c:v>10.5</c:v>
                </c:pt>
                <c:pt idx="5">
                  <c:v>10.4</c:v>
                </c:pt>
                <c:pt idx="6">
                  <c:v>12.8</c:v>
                </c:pt>
                <c:pt idx="7">
                  <c:v>12.7</c:v>
                </c:pt>
                <c:pt idx="8">
                  <c:v>14.5</c:v>
                </c:pt>
                <c:pt idx="9">
                  <c:v>14.6</c:v>
                </c:pt>
                <c:pt idx="10">
                  <c:v>16.8</c:v>
                </c:pt>
                <c:pt idx="11">
                  <c:v>16.5</c:v>
                </c:pt>
                <c:pt idx="14">
                  <c:v>5</c:v>
                </c:pt>
                <c:pt idx="15">
                  <c:v>5.8</c:v>
                </c:pt>
                <c:pt idx="16">
                  <c:v>6.8</c:v>
                </c:pt>
                <c:pt idx="17">
                  <c:v>6.5</c:v>
                </c:pt>
                <c:pt idx="18">
                  <c:v>9.1999999999999993</c:v>
                </c:pt>
                <c:pt idx="19">
                  <c:v>9.1999999999999993</c:v>
                </c:pt>
                <c:pt idx="20">
                  <c:v>11.2</c:v>
                </c:pt>
                <c:pt idx="21">
                  <c:v>11.3</c:v>
                </c:pt>
                <c:pt idx="22">
                  <c:v>13.3</c:v>
                </c:pt>
                <c:pt idx="23">
                  <c:v>13.4</c:v>
                </c:pt>
                <c:pt idx="24">
                  <c:v>15.5</c:v>
                </c:pt>
                <c:pt idx="25">
                  <c:v>15.4</c:v>
                </c:pt>
                <c:pt idx="28">
                  <c:v>4</c:v>
                </c:pt>
                <c:pt idx="29">
                  <c:v>4.4000000000000004</c:v>
                </c:pt>
                <c:pt idx="30">
                  <c:v>6.4</c:v>
                </c:pt>
                <c:pt idx="31">
                  <c:v>6</c:v>
                </c:pt>
                <c:pt idx="32">
                  <c:v>8.5</c:v>
                </c:pt>
                <c:pt idx="33">
                  <c:v>8.6999999999999993</c:v>
                </c:pt>
                <c:pt idx="34">
                  <c:v>10.9</c:v>
                </c:pt>
                <c:pt idx="35">
                  <c:v>10.8</c:v>
                </c:pt>
                <c:pt idx="36">
                  <c:v>13</c:v>
                </c:pt>
                <c:pt idx="37">
                  <c:v>12.9</c:v>
                </c:pt>
                <c:pt idx="38">
                  <c:v>15</c:v>
                </c:pt>
                <c:pt idx="39">
                  <c:v>15.1</c:v>
                </c:pt>
                <c:pt idx="42">
                  <c:v>3.8116666681723061</c:v>
                </c:pt>
                <c:pt idx="43">
                  <c:v>3.7393655323830544</c:v>
                </c:pt>
                <c:pt idx="44">
                  <c:v>5.5852804552969424</c:v>
                </c:pt>
                <c:pt idx="45">
                  <c:v>4.9921890073716293</c:v>
                </c:pt>
                <c:pt idx="46">
                  <c:v>7.6006292855009043</c:v>
                </c:pt>
                <c:pt idx="47">
                  <c:v>7.7287962456783106</c:v>
                </c:pt>
                <c:pt idx="48">
                  <c:v>10.155421440848107</c:v>
                </c:pt>
                <c:pt idx="49">
                  <c:v>9.9670640313031207</c:v>
                </c:pt>
                <c:pt idx="50">
                  <c:v>12.267073820393003</c:v>
                </c:pt>
                <c:pt idx="51">
                  <c:v>12.206851442462563</c:v>
                </c:pt>
                <c:pt idx="52">
                  <c:v>14.327673023826563</c:v>
                </c:pt>
                <c:pt idx="53">
                  <c:v>14.311856624712501</c:v>
                </c:pt>
                <c:pt idx="56">
                  <c:v>5.4799633379549251</c:v>
                </c:pt>
                <c:pt idx="57">
                  <c:v>5.1961942035049358</c:v>
                </c:pt>
                <c:pt idx="58">
                  <c:v>7.051947848179144</c:v>
                </c:pt>
                <c:pt idx="59">
                  <c:v>6.3368243725190805</c:v>
                </c:pt>
                <c:pt idx="60">
                  <c:v>9.1067855515877412</c:v>
                </c:pt>
                <c:pt idx="61">
                  <c:v>9.1209379744968366</c:v>
                </c:pt>
                <c:pt idx="62">
                  <c:v>11.637227059119049</c:v>
                </c:pt>
                <c:pt idx="63">
                  <c:v>11.492997622844964</c:v>
                </c:pt>
                <c:pt idx="64">
                  <c:v>13.865411286866646</c:v>
                </c:pt>
                <c:pt idx="65">
                  <c:v>13.6650375069372</c:v>
                </c:pt>
                <c:pt idx="66">
                  <c:v>15.789778209337264</c:v>
                </c:pt>
                <c:pt idx="67">
                  <c:v>15.852109103625477</c:v>
                </c:pt>
                <c:pt idx="70">
                  <c:v>6</c:v>
                </c:pt>
                <c:pt idx="71">
                  <c:v>6.4</c:v>
                </c:pt>
                <c:pt idx="72">
                  <c:v>7.7</c:v>
                </c:pt>
                <c:pt idx="73">
                  <c:v>7.8</c:v>
                </c:pt>
                <c:pt idx="74">
                  <c:v>10</c:v>
                </c:pt>
                <c:pt idx="75">
                  <c:v>9.9</c:v>
                </c:pt>
                <c:pt idx="76">
                  <c:v>12.2</c:v>
                </c:pt>
                <c:pt idx="77">
                  <c:v>12.1</c:v>
                </c:pt>
                <c:pt idx="78">
                  <c:v>14.5</c:v>
                </c:pt>
                <c:pt idx="79">
                  <c:v>14.4</c:v>
                </c:pt>
                <c:pt idx="80">
                  <c:v>16.399999999999999</c:v>
                </c:pt>
                <c:pt idx="81">
                  <c:v>16.399999999999999</c:v>
                </c:pt>
                <c:pt idx="84">
                  <c:v>3.7</c:v>
                </c:pt>
                <c:pt idx="85">
                  <c:v>4.2</c:v>
                </c:pt>
                <c:pt idx="86">
                  <c:v>5.4</c:v>
                </c:pt>
                <c:pt idx="87">
                  <c:v>5.4</c:v>
                </c:pt>
                <c:pt idx="88">
                  <c:v>7.3</c:v>
                </c:pt>
                <c:pt idx="89">
                  <c:v>7.6</c:v>
                </c:pt>
                <c:pt idx="90">
                  <c:v>9.6999999999999993</c:v>
                </c:pt>
                <c:pt idx="91">
                  <c:v>10</c:v>
                </c:pt>
                <c:pt idx="92">
                  <c:v>12.2</c:v>
                </c:pt>
                <c:pt idx="93">
                  <c:v>11.7</c:v>
                </c:pt>
                <c:pt idx="94">
                  <c:v>14.3</c:v>
                </c:pt>
                <c:pt idx="95">
                  <c:v>13.6</c:v>
                </c:pt>
              </c:numCache>
            </c:numRef>
          </c:xVal>
          <c:yVal>
            <c:numRef>
              <c:f>'Data By Year'!$L$29:$L$124</c:f>
              <c:numCache>
                <c:formatCode>0.0</c:formatCode>
                <c:ptCount val="96"/>
                <c:pt idx="0">
                  <c:v>-252.0064910916588</c:v>
                </c:pt>
                <c:pt idx="1">
                  <c:v>38.521243843172471</c:v>
                </c:pt>
                <c:pt idx="2">
                  <c:v>-161.87985935451479</c:v>
                </c:pt>
                <c:pt idx="3">
                  <c:v>-45.127865010806573</c:v>
                </c:pt>
                <c:pt idx="4">
                  <c:v>-87.129027761077026</c:v>
                </c:pt>
                <c:pt idx="5">
                  <c:v>-233.65417055953429</c:v>
                </c:pt>
                <c:pt idx="6">
                  <c:v>-207.11218888428598</c:v>
                </c:pt>
                <c:pt idx="7">
                  <c:v>-230.42526160397821</c:v>
                </c:pt>
                <c:pt idx="8">
                  <c:v>-298.89968100054978</c:v>
                </c:pt>
                <c:pt idx="9">
                  <c:v>-405.92666843381863</c:v>
                </c:pt>
                <c:pt idx="10">
                  <c:v>-285.63423100332454</c:v>
                </c:pt>
                <c:pt idx="11">
                  <c:v>-304.61300213346635</c:v>
                </c:pt>
                <c:pt idx="14">
                  <c:v>-140.6500209256908</c:v>
                </c:pt>
                <c:pt idx="15">
                  <c:v>80.526336214731117</c:v>
                </c:pt>
                <c:pt idx="16">
                  <c:v>-3.9143659979753842</c:v>
                </c:pt>
                <c:pt idx="17">
                  <c:v>9.3990500194405442</c:v>
                </c:pt>
                <c:pt idx="18">
                  <c:v>-13.663747645184568</c:v>
                </c:pt>
                <c:pt idx="19">
                  <c:v>-142.6485700124704</c:v>
                </c:pt>
                <c:pt idx="20">
                  <c:v>-108.89855338435069</c:v>
                </c:pt>
                <c:pt idx="21">
                  <c:v>-167.01046548142207</c:v>
                </c:pt>
                <c:pt idx="22">
                  <c:v>-316.82288661868785</c:v>
                </c:pt>
                <c:pt idx="23">
                  <c:v>-279.30502867265744</c:v>
                </c:pt>
                <c:pt idx="24">
                  <c:v>-247.90750220160891</c:v>
                </c:pt>
                <c:pt idx="25">
                  <c:v>-135.63960882204765</c:v>
                </c:pt>
                <c:pt idx="28">
                  <c:v>-132.71902936859388</c:v>
                </c:pt>
                <c:pt idx="29">
                  <c:v>-86.162598773037075</c:v>
                </c:pt>
                <c:pt idx="30">
                  <c:v>35.453224628512203</c:v>
                </c:pt>
                <c:pt idx="31">
                  <c:v>-64.147545410854079</c:v>
                </c:pt>
                <c:pt idx="32">
                  <c:v>31.810948209744502</c:v>
                </c:pt>
                <c:pt idx="33">
                  <c:v>-115.69837935822774</c:v>
                </c:pt>
                <c:pt idx="34">
                  <c:v>-116.55261952847582</c:v>
                </c:pt>
                <c:pt idx="35">
                  <c:v>-245.1759943695514</c:v>
                </c:pt>
                <c:pt idx="36">
                  <c:v>-312.73186508042664</c:v>
                </c:pt>
                <c:pt idx="37">
                  <c:v>-455.87878195086415</c:v>
                </c:pt>
                <c:pt idx="38">
                  <c:v>-344.14711935336061</c:v>
                </c:pt>
                <c:pt idx="39">
                  <c:v>-232.07781398402639</c:v>
                </c:pt>
                <c:pt idx="42">
                  <c:v>-58.862158027056182</c:v>
                </c:pt>
                <c:pt idx="43">
                  <c:v>-55.982194850280067</c:v>
                </c:pt>
                <c:pt idx="44">
                  <c:v>-20.691116642386284</c:v>
                </c:pt>
                <c:pt idx="45">
                  <c:v>-29.709589926893415</c:v>
                </c:pt>
                <c:pt idx="46">
                  <c:v>-11.170050979154894</c:v>
                </c:pt>
                <c:pt idx="47">
                  <c:v>-171.72409989368609</c:v>
                </c:pt>
                <c:pt idx="48">
                  <c:v>-197.42644757075209</c:v>
                </c:pt>
                <c:pt idx="49">
                  <c:v>-173.91976407266864</c:v>
                </c:pt>
                <c:pt idx="50">
                  <c:v>-361.40675924111338</c:v>
                </c:pt>
                <c:pt idx="51">
                  <c:v>-278.34007112174163</c:v>
                </c:pt>
                <c:pt idx="52">
                  <c:v>-704.58122026999695</c:v>
                </c:pt>
                <c:pt idx="53">
                  <c:v>-555.68229853292212</c:v>
                </c:pt>
                <c:pt idx="56">
                  <c:v>-122.79942296216247</c:v>
                </c:pt>
                <c:pt idx="57">
                  <c:v>-21.025814063931364</c:v>
                </c:pt>
                <c:pt idx="58">
                  <c:v>-7.178559921666162</c:v>
                </c:pt>
                <c:pt idx="59">
                  <c:v>-120.92251352270151</c:v>
                </c:pt>
                <c:pt idx="60">
                  <c:v>-34.106436084104764</c:v>
                </c:pt>
                <c:pt idx="61">
                  <c:v>-215.08763735430472</c:v>
                </c:pt>
                <c:pt idx="62">
                  <c:v>-268.55061555409685</c:v>
                </c:pt>
                <c:pt idx="63">
                  <c:v>-307.44726862053653</c:v>
                </c:pt>
                <c:pt idx="64">
                  <c:v>-415.10102181832002</c:v>
                </c:pt>
                <c:pt idx="65">
                  <c:v>-450.63579416141681</c:v>
                </c:pt>
                <c:pt idx="66">
                  <c:v>-942.35977997292468</c:v>
                </c:pt>
                <c:pt idx="67">
                  <c:v>-676.3351355277872</c:v>
                </c:pt>
                <c:pt idx="70">
                  <c:v>-27.5230650893944</c:v>
                </c:pt>
                <c:pt idx="71">
                  <c:v>-31.531727654092961</c:v>
                </c:pt>
                <c:pt idx="72">
                  <c:v>-69.412431483818068</c:v>
                </c:pt>
                <c:pt idx="73">
                  <c:v>-159.0111927508764</c:v>
                </c:pt>
                <c:pt idx="74">
                  <c:v>-60.694375405491371</c:v>
                </c:pt>
                <c:pt idx="75">
                  <c:v>-241.51309702232058</c:v>
                </c:pt>
                <c:pt idx="76">
                  <c:v>-203.06592570722898</c:v>
                </c:pt>
                <c:pt idx="77">
                  <c:v>-146.74776799845</c:v>
                </c:pt>
                <c:pt idx="78">
                  <c:v>-253.00657452263579</c:v>
                </c:pt>
                <c:pt idx="79">
                  <c:v>-237.51291734567303</c:v>
                </c:pt>
                <c:pt idx="80">
                  <c:v>-467.05732458276668</c:v>
                </c:pt>
                <c:pt idx="81">
                  <c:v>-311.0320649144424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9-FD42-BB91-E0A2BEFA9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6111"/>
        <c:axId val="1713826672"/>
      </c:scatterChart>
      <c:valAx>
        <c:axId val="1730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26672"/>
        <c:crosses val="autoZero"/>
        <c:crossBetween val="midCat"/>
      </c:valAx>
      <c:valAx>
        <c:axId val="17138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660400</xdr:colOff>
      <xdr:row>111</xdr:row>
      <xdr:rowOff>0</xdr:rowOff>
    </xdr:from>
    <xdr:to>
      <xdr:col>21</xdr:col>
      <xdr:colOff>325120</xdr:colOff>
      <xdr:row>138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84711E-975A-B392-DE36-F9CE80256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C9AA-5134-7D45-B929-53CDF232752F}">
  <sheetPr codeName="Sheet1">
    <pageSetUpPr fitToPage="1"/>
  </sheetPr>
  <dimension ref="A1:N158"/>
  <sheetViews>
    <sheetView tabSelected="1" zoomScale="125" zoomScaleNormal="125" workbookViewId="0">
      <pane ySplit="5560" topLeftCell="A90" activePane="bottomLeft"/>
      <selection pane="bottomLeft" activeCell="D141" sqref="D141:F153"/>
      <selection activeCell="G1" sqref="G1"/>
    </sheetView>
  </sheetViews>
  <sheetFormatPr defaultColWidth="11" defaultRowHeight="15.95"/>
  <sheetData>
    <row r="1" spans="1:14">
      <c r="A1" s="3" t="s">
        <v>0</v>
      </c>
      <c r="G1" s="2"/>
    </row>
    <row r="2" spans="1:14">
      <c r="A2" s="3" t="s">
        <v>1</v>
      </c>
      <c r="G2" s="2"/>
    </row>
    <row r="3" spans="1:14">
      <c r="A3" s="4" t="s">
        <v>2</v>
      </c>
      <c r="G3" s="2"/>
    </row>
    <row r="4" spans="1:14" ht="17.100000000000001" thickBot="1"/>
    <row r="5" spans="1:14">
      <c r="A5" s="77" t="s">
        <v>3</v>
      </c>
      <c r="B5" s="77" t="s">
        <v>4</v>
      </c>
      <c r="C5" s="77" t="s">
        <v>5</v>
      </c>
      <c r="D5" s="77" t="s">
        <v>6</v>
      </c>
      <c r="E5" s="77" t="s">
        <v>7</v>
      </c>
      <c r="F5" s="77" t="s">
        <v>8</v>
      </c>
      <c r="G5" s="77" t="s">
        <v>9</v>
      </c>
      <c r="H5" s="77" t="s">
        <v>10</v>
      </c>
      <c r="I5" s="77" t="s">
        <v>11</v>
      </c>
      <c r="J5" s="77" t="s">
        <v>12</v>
      </c>
      <c r="K5" s="77" t="s">
        <v>13</v>
      </c>
      <c r="L5" s="77" t="s">
        <v>14</v>
      </c>
      <c r="M5" s="1"/>
      <c r="N5" s="1"/>
    </row>
    <row r="6" spans="1:14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1"/>
      <c r="N6" s="1"/>
    </row>
    <row r="7" spans="1:14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1"/>
      <c r="N7" s="1"/>
    </row>
    <row r="8" spans="1:14" ht="33" customHeight="1" thickBot="1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1"/>
      <c r="N8" s="1"/>
    </row>
    <row r="9" spans="1:14" s="7" customFormat="1" ht="35.1" customHeight="1" thickBot="1">
      <c r="A9" s="5"/>
      <c r="B9" s="6" t="s">
        <v>15</v>
      </c>
      <c r="C9" s="6" t="s">
        <v>16</v>
      </c>
      <c r="D9" s="6" t="s">
        <v>17</v>
      </c>
      <c r="E9" s="80" t="s">
        <v>18</v>
      </c>
      <c r="F9" s="81"/>
      <c r="G9" s="81"/>
      <c r="H9" s="81"/>
      <c r="I9" s="81"/>
      <c r="J9" s="81"/>
      <c r="K9" s="81"/>
      <c r="L9" s="82"/>
    </row>
    <row r="10" spans="1:14" ht="18.95" thickBot="1">
      <c r="A10" s="19"/>
      <c r="B10" s="20"/>
      <c r="C10" s="20"/>
      <c r="D10" s="20"/>
      <c r="E10" s="20"/>
      <c r="F10" s="20"/>
      <c r="G10" s="20"/>
      <c r="H10" s="20"/>
      <c r="I10" s="21"/>
      <c r="J10" s="20"/>
      <c r="K10" s="20"/>
      <c r="L10" s="20"/>
      <c r="M10" s="1"/>
      <c r="N10" s="1"/>
    </row>
    <row r="11" spans="1:14" ht="18.95" thickBot="1">
      <c r="A11" s="22"/>
      <c r="B11" s="23"/>
      <c r="C11" s="23"/>
      <c r="D11" s="20"/>
      <c r="E11" s="20"/>
      <c r="F11" s="20"/>
      <c r="G11" s="20"/>
      <c r="H11" s="20"/>
      <c r="I11" s="21"/>
      <c r="J11" s="20"/>
      <c r="K11" s="20"/>
      <c r="L11" s="20"/>
      <c r="M11" s="1"/>
      <c r="N11" s="1"/>
    </row>
    <row r="12" spans="1:14" ht="39" thickBot="1">
      <c r="A12" s="24" t="s">
        <v>19</v>
      </c>
      <c r="B12" s="25"/>
      <c r="C12" s="25" t="s">
        <v>20</v>
      </c>
      <c r="D12" s="25" t="s">
        <v>21</v>
      </c>
      <c r="E12" s="25" t="s">
        <v>22</v>
      </c>
      <c r="F12" s="25" t="s">
        <v>23</v>
      </c>
      <c r="G12" s="25" t="s">
        <v>24</v>
      </c>
      <c r="H12" s="25" t="s">
        <v>25</v>
      </c>
      <c r="I12" s="25" t="s">
        <v>26</v>
      </c>
      <c r="J12" s="25" t="s">
        <v>27</v>
      </c>
      <c r="K12" s="25" t="s">
        <v>28</v>
      </c>
      <c r="L12" s="25" t="s">
        <v>29</v>
      </c>
      <c r="M12" s="1"/>
      <c r="N12" s="1"/>
    </row>
    <row r="13" spans="1:14" ht="39" thickBot="1">
      <c r="A13" s="24"/>
      <c r="B13" s="25"/>
      <c r="C13" s="25"/>
      <c r="D13" s="25"/>
      <c r="E13" s="26" t="s">
        <v>30</v>
      </c>
      <c r="F13" s="26">
        <v>2015</v>
      </c>
      <c r="G13" s="25"/>
      <c r="H13" s="25"/>
      <c r="I13" s="25"/>
      <c r="J13" s="25"/>
      <c r="K13" s="25"/>
      <c r="L13" s="25"/>
      <c r="M13" s="1"/>
      <c r="N13" s="1"/>
    </row>
    <row r="14" spans="1:14" ht="20.100000000000001" thickBot="1">
      <c r="A14" s="27" t="s">
        <v>31</v>
      </c>
      <c r="B14" s="28" t="s">
        <v>32</v>
      </c>
      <c r="C14" s="28" t="s">
        <v>20</v>
      </c>
      <c r="D14" s="28">
        <v>4.7</v>
      </c>
      <c r="E14" s="58" t="s">
        <v>33</v>
      </c>
      <c r="F14" s="64" t="s">
        <v>33</v>
      </c>
      <c r="G14" s="28" t="s">
        <v>33</v>
      </c>
      <c r="H14" s="28"/>
      <c r="I14" s="25"/>
      <c r="J14" s="28"/>
      <c r="K14" s="28"/>
      <c r="L14" s="28"/>
      <c r="M14" s="1"/>
      <c r="N14" s="1"/>
    </row>
    <row r="15" spans="1:14" ht="20.100000000000001" thickBot="1">
      <c r="A15" s="27" t="s">
        <v>31</v>
      </c>
      <c r="B15" s="28" t="s">
        <v>34</v>
      </c>
      <c r="C15" s="28" t="s">
        <v>20</v>
      </c>
      <c r="D15" s="28">
        <v>5.6</v>
      </c>
      <c r="E15" s="59">
        <v>47.6</v>
      </c>
      <c r="F15" s="64">
        <v>121.2</v>
      </c>
      <c r="G15" s="28" t="s">
        <v>33</v>
      </c>
      <c r="H15" s="28"/>
      <c r="I15" s="25"/>
      <c r="J15" s="28"/>
      <c r="K15" s="28"/>
      <c r="L15" s="28"/>
      <c r="M15" s="1"/>
      <c r="N15" s="1"/>
    </row>
    <row r="16" spans="1:14" ht="20.100000000000001" thickBot="1">
      <c r="A16" s="27" t="s">
        <v>31</v>
      </c>
      <c r="B16" s="28" t="s">
        <v>35</v>
      </c>
      <c r="C16" s="28" t="s">
        <v>20</v>
      </c>
      <c r="D16" s="28" t="s">
        <v>36</v>
      </c>
      <c r="E16" s="59">
        <v>100</v>
      </c>
      <c r="F16" s="64">
        <v>54.3</v>
      </c>
      <c r="G16" s="28" t="s">
        <v>33</v>
      </c>
      <c r="H16" s="28"/>
      <c r="I16" s="25"/>
      <c r="J16" s="28"/>
      <c r="K16" s="28"/>
      <c r="L16" s="28"/>
      <c r="M16" s="1"/>
      <c r="N16" s="1"/>
    </row>
    <row r="17" spans="1:14" ht="20.100000000000001" thickBot="1">
      <c r="A17" s="27" t="s">
        <v>37</v>
      </c>
      <c r="B17" s="28" t="s">
        <v>38</v>
      </c>
      <c r="C17" s="28" t="s">
        <v>20</v>
      </c>
      <c r="D17" s="28">
        <v>6.7</v>
      </c>
      <c r="E17" s="59">
        <v>42.1</v>
      </c>
      <c r="F17" s="64">
        <v>107.9</v>
      </c>
      <c r="G17" s="28" t="s">
        <v>33</v>
      </c>
      <c r="H17" s="28"/>
      <c r="I17" s="25"/>
      <c r="J17" s="28"/>
      <c r="K17" s="28"/>
      <c r="L17" s="28"/>
      <c r="M17" s="1"/>
      <c r="N17" s="1"/>
    </row>
    <row r="18" spans="1:14" ht="20.100000000000001" thickBot="1">
      <c r="A18" s="27" t="s">
        <v>37</v>
      </c>
      <c r="B18" s="28" t="s">
        <v>39</v>
      </c>
      <c r="C18" s="28" t="s">
        <v>20</v>
      </c>
      <c r="D18" s="28" t="s">
        <v>36</v>
      </c>
      <c r="E18" s="59">
        <v>108.9</v>
      </c>
      <c r="F18" s="64">
        <v>92.1</v>
      </c>
      <c r="G18" s="28" t="s">
        <v>33</v>
      </c>
      <c r="H18" s="28"/>
      <c r="I18" s="25"/>
      <c r="J18" s="28"/>
      <c r="K18" s="28"/>
      <c r="L18" s="28"/>
      <c r="M18" s="1"/>
      <c r="N18" s="1"/>
    </row>
    <row r="19" spans="1:14" ht="20.100000000000001" thickBot="1">
      <c r="A19" s="27" t="s">
        <v>40</v>
      </c>
      <c r="B19" s="28" t="s">
        <v>41</v>
      </c>
      <c r="C19" s="28" t="s">
        <v>20</v>
      </c>
      <c r="D19" s="28" t="s">
        <v>36</v>
      </c>
      <c r="E19" s="59">
        <v>136</v>
      </c>
      <c r="F19" s="64">
        <v>121.2</v>
      </c>
      <c r="G19" s="28" t="s">
        <v>33</v>
      </c>
      <c r="H19" s="28"/>
      <c r="I19" s="25"/>
      <c r="J19" s="28"/>
      <c r="K19" s="28"/>
      <c r="L19" s="28"/>
      <c r="M19" s="1"/>
      <c r="N19" s="1"/>
    </row>
    <row r="20" spans="1:14" ht="20.100000000000001" thickBot="1">
      <c r="A20" s="27" t="s">
        <v>40</v>
      </c>
      <c r="B20" s="28" t="s">
        <v>42</v>
      </c>
      <c r="C20" s="28" t="s">
        <v>20</v>
      </c>
      <c r="D20" s="28" t="s">
        <v>36</v>
      </c>
      <c r="E20" s="59">
        <v>64.599999999999994</v>
      </c>
      <c r="F20" s="64">
        <v>74.7</v>
      </c>
      <c r="G20" s="28" t="s">
        <v>33</v>
      </c>
      <c r="H20" s="28"/>
      <c r="I20" s="25"/>
      <c r="J20" s="28"/>
      <c r="K20" s="28"/>
      <c r="L20" s="28"/>
      <c r="M20" s="1"/>
      <c r="N20" s="1"/>
    </row>
    <row r="21" spans="1:14" ht="20.100000000000001" thickBot="1">
      <c r="A21" s="27" t="s">
        <v>43</v>
      </c>
      <c r="B21" s="28" t="s">
        <v>44</v>
      </c>
      <c r="C21" s="28" t="s">
        <v>20</v>
      </c>
      <c r="D21" s="28" t="s">
        <v>36</v>
      </c>
      <c r="E21" s="59">
        <v>48.3</v>
      </c>
      <c r="F21" s="64">
        <v>176.1</v>
      </c>
      <c r="G21" s="28" t="s">
        <v>33</v>
      </c>
      <c r="H21" s="28"/>
      <c r="I21" s="25"/>
      <c r="J21" s="28"/>
      <c r="K21" s="28"/>
      <c r="L21" s="28"/>
      <c r="M21" s="1"/>
      <c r="N21" s="1"/>
    </row>
    <row r="22" spans="1:14" ht="20.100000000000001" thickBot="1">
      <c r="A22" s="27" t="s">
        <v>43</v>
      </c>
      <c r="B22" s="28" t="s">
        <v>45</v>
      </c>
      <c r="C22" s="28" t="s">
        <v>20</v>
      </c>
      <c r="D22" s="28">
        <v>8.1</v>
      </c>
      <c r="E22" s="59">
        <v>50.6</v>
      </c>
      <c r="F22" s="64">
        <v>70.2</v>
      </c>
      <c r="G22" s="28" t="s">
        <v>33</v>
      </c>
      <c r="H22" s="28"/>
      <c r="I22" s="25"/>
      <c r="J22" s="28"/>
      <c r="K22" s="28"/>
      <c r="L22" s="28"/>
      <c r="M22" s="1"/>
      <c r="N22" s="1"/>
    </row>
    <row r="23" spans="1:14" ht="20.100000000000001" thickBot="1">
      <c r="A23" s="27" t="s">
        <v>46</v>
      </c>
      <c r="B23" s="28" t="s">
        <v>47</v>
      </c>
      <c r="C23" s="28" t="s">
        <v>20</v>
      </c>
      <c r="D23" s="28" t="s">
        <v>36</v>
      </c>
      <c r="E23" s="59">
        <v>64.400000000000006</v>
      </c>
      <c r="F23" s="64">
        <v>243.6</v>
      </c>
      <c r="G23" s="28" t="s">
        <v>33</v>
      </c>
      <c r="H23" s="28"/>
      <c r="I23" s="25"/>
      <c r="J23" s="28"/>
      <c r="K23" s="28"/>
      <c r="L23" s="28"/>
      <c r="M23" s="1"/>
      <c r="N23" s="1"/>
    </row>
    <row r="24" spans="1:14" ht="20.100000000000001" thickBot="1">
      <c r="A24" s="27" t="s">
        <v>46</v>
      </c>
      <c r="B24" s="28" t="s">
        <v>48</v>
      </c>
      <c r="C24" s="28" t="s">
        <v>20</v>
      </c>
      <c r="D24" s="28" t="s">
        <v>36</v>
      </c>
      <c r="E24" s="59">
        <v>107.1</v>
      </c>
      <c r="F24" s="64">
        <v>100</v>
      </c>
      <c r="G24" s="28" t="s">
        <v>33</v>
      </c>
      <c r="H24" s="28"/>
      <c r="I24" s="25"/>
      <c r="J24" s="28"/>
      <c r="K24" s="28"/>
      <c r="L24" s="28"/>
      <c r="M24" s="1"/>
      <c r="N24" s="1"/>
    </row>
    <row r="25" spans="1:14" ht="20.100000000000001" thickBot="1">
      <c r="A25" s="27" t="s">
        <v>49</v>
      </c>
      <c r="B25" s="28" t="s">
        <v>50</v>
      </c>
      <c r="C25" s="28" t="s">
        <v>20</v>
      </c>
      <c r="D25" s="28" t="s">
        <v>36</v>
      </c>
      <c r="E25" s="59">
        <v>57.8</v>
      </c>
      <c r="F25" s="64">
        <v>95.7</v>
      </c>
      <c r="G25" s="28" t="s">
        <v>33</v>
      </c>
      <c r="H25" s="28"/>
      <c r="I25" s="25"/>
      <c r="J25" s="28"/>
      <c r="K25" s="28"/>
      <c r="L25" s="28"/>
      <c r="M25" s="1"/>
      <c r="N25" s="1"/>
    </row>
    <row r="26" spans="1:14" ht="20.100000000000001" thickBot="1">
      <c r="A26" s="27" t="s">
        <v>49</v>
      </c>
      <c r="B26" s="28" t="s">
        <v>51</v>
      </c>
      <c r="C26" s="28" t="s">
        <v>20</v>
      </c>
      <c r="D26" s="28" t="s">
        <v>36</v>
      </c>
      <c r="E26" s="59">
        <v>41.2</v>
      </c>
      <c r="F26" s="64">
        <v>144.6</v>
      </c>
      <c r="G26" s="28" t="s">
        <v>33</v>
      </c>
      <c r="H26" s="28"/>
      <c r="I26" s="25"/>
      <c r="J26" s="28"/>
      <c r="K26" s="28"/>
      <c r="L26" s="28"/>
      <c r="M26" s="1"/>
      <c r="N26" s="1"/>
    </row>
    <row r="27" spans="1:14" ht="18.95" thickBot="1">
      <c r="A27" s="19"/>
      <c r="B27" s="20"/>
      <c r="C27" s="20"/>
      <c r="D27" s="20"/>
      <c r="E27" s="29">
        <f>AVERAGE(E15:E26)</f>
        <v>72.38333333333334</v>
      </c>
      <c r="F27" s="29">
        <f>AVERAGE(F15:F26)</f>
        <v>116.8</v>
      </c>
      <c r="G27" s="20"/>
      <c r="H27" s="20"/>
      <c r="I27" s="21"/>
      <c r="J27" s="20"/>
      <c r="K27" s="20"/>
      <c r="L27" s="20"/>
      <c r="M27" s="1"/>
    </row>
    <row r="28" spans="1:14" ht="18.95" thickBot="1">
      <c r="A28" s="30">
        <v>2016</v>
      </c>
      <c r="B28" s="31"/>
      <c r="C28" s="31"/>
      <c r="D28" s="31"/>
      <c r="E28" s="32"/>
      <c r="F28" s="31"/>
      <c r="G28" s="31"/>
      <c r="H28" s="31"/>
      <c r="I28" s="31"/>
      <c r="J28" s="31"/>
      <c r="K28" s="31"/>
      <c r="L28" s="31"/>
      <c r="M28" s="1"/>
    </row>
    <row r="29" spans="1:14" ht="20.100000000000001" thickBot="1">
      <c r="A29" s="22" t="s">
        <v>31</v>
      </c>
      <c r="B29" s="28" t="s">
        <v>34</v>
      </c>
      <c r="C29" s="31" t="s">
        <v>20</v>
      </c>
      <c r="D29" s="33">
        <v>6</v>
      </c>
      <c r="E29" s="60">
        <v>54.6</v>
      </c>
      <c r="F29" s="65">
        <v>56.4</v>
      </c>
      <c r="G29" s="70">
        <v>93.1</v>
      </c>
      <c r="H29" s="34">
        <v>9.4</v>
      </c>
      <c r="I29" s="33">
        <v>-369.9</v>
      </c>
      <c r="J29" s="15">
        <v>-55.606491091658818</v>
      </c>
      <c r="K29" s="35">
        <v>-40</v>
      </c>
      <c r="L29" s="36">
        <f>SUM(E29:K29)</f>
        <v>-252.0064910916588</v>
      </c>
      <c r="M29" s="1"/>
    </row>
    <row r="30" spans="1:14" ht="20.100000000000001" thickBot="1">
      <c r="A30" s="22" t="s">
        <v>31</v>
      </c>
      <c r="B30" s="28" t="s">
        <v>35</v>
      </c>
      <c r="C30" s="23" t="s">
        <v>20</v>
      </c>
      <c r="D30" s="33">
        <v>7</v>
      </c>
      <c r="E30" s="60">
        <v>108.7</v>
      </c>
      <c r="F30" s="65">
        <v>105.3</v>
      </c>
      <c r="G30" s="70">
        <v>265.8</v>
      </c>
      <c r="H30" s="37">
        <v>41.3</v>
      </c>
      <c r="I30" s="33">
        <v>-387.7</v>
      </c>
      <c r="J30" s="15">
        <v>-54.878756156827563</v>
      </c>
      <c r="K30" s="38">
        <v>-40</v>
      </c>
      <c r="L30" s="36">
        <f t="shared" ref="L30:L40" si="0">SUM(E30:K30)</f>
        <v>38.521243843172471</v>
      </c>
      <c r="M30" s="1"/>
    </row>
    <row r="31" spans="1:14" ht="20.100000000000001" thickBot="1">
      <c r="A31" s="22" t="s">
        <v>37</v>
      </c>
      <c r="B31" s="28" t="s">
        <v>38</v>
      </c>
      <c r="C31" s="23">
        <v>0</v>
      </c>
      <c r="D31" s="39">
        <v>8.1999999999999993</v>
      </c>
      <c r="E31" s="60">
        <v>45.9</v>
      </c>
      <c r="F31" s="65">
        <v>55.3</v>
      </c>
      <c r="G31" s="70">
        <v>110.1</v>
      </c>
      <c r="H31" s="40">
        <v>63.5</v>
      </c>
      <c r="I31" s="33">
        <v>-352.7</v>
      </c>
      <c r="J31" s="15">
        <v>-34.083586953510476</v>
      </c>
      <c r="K31" s="33">
        <v>-49.896272401004268</v>
      </c>
      <c r="L31" s="36">
        <f t="shared" si="0"/>
        <v>-161.87985935451479</v>
      </c>
      <c r="M31" s="1"/>
    </row>
    <row r="32" spans="1:14" ht="20.100000000000001" thickBot="1">
      <c r="A32" s="22" t="s">
        <v>37</v>
      </c>
      <c r="B32" s="28" t="s">
        <v>39</v>
      </c>
      <c r="C32" s="23">
        <v>500</v>
      </c>
      <c r="D32" s="39">
        <v>7.9</v>
      </c>
      <c r="E32" s="60">
        <v>105.6</v>
      </c>
      <c r="F32" s="65">
        <v>99.3</v>
      </c>
      <c r="G32" s="70">
        <v>157.19999999999999</v>
      </c>
      <c r="H32" s="40">
        <v>33.9</v>
      </c>
      <c r="I32" s="33">
        <v>-372.5</v>
      </c>
      <c r="J32" s="15">
        <v>-38.072734639045578</v>
      </c>
      <c r="K32" s="33">
        <v>-30.555130371760939</v>
      </c>
      <c r="L32" s="36">
        <f t="shared" si="0"/>
        <v>-45.127865010806573</v>
      </c>
      <c r="M32" s="1"/>
      <c r="N32" s="1"/>
    </row>
    <row r="33" spans="1:14" ht="20.100000000000001" thickBot="1">
      <c r="A33" s="22" t="s">
        <v>40</v>
      </c>
      <c r="B33" s="28" t="s">
        <v>41</v>
      </c>
      <c r="C33" s="23">
        <v>0</v>
      </c>
      <c r="D33" s="39">
        <v>10.5</v>
      </c>
      <c r="E33" s="60">
        <v>146.30000000000001</v>
      </c>
      <c r="F33" s="65">
        <v>131.4</v>
      </c>
      <c r="G33" s="70">
        <v>91.4</v>
      </c>
      <c r="H33" s="40">
        <v>107.6</v>
      </c>
      <c r="I33" s="33">
        <v>-439.5</v>
      </c>
      <c r="J33" s="15">
        <v>-28.497362162039533</v>
      </c>
      <c r="K33" s="33">
        <v>-95.831665599037535</v>
      </c>
      <c r="L33" s="36">
        <f t="shared" si="0"/>
        <v>-87.129027761077026</v>
      </c>
      <c r="M33" s="1"/>
      <c r="N33" s="1"/>
    </row>
    <row r="34" spans="1:14" ht="20.100000000000001" thickBot="1">
      <c r="A34" s="22" t="s">
        <v>40</v>
      </c>
      <c r="B34" s="28" t="s">
        <v>42</v>
      </c>
      <c r="C34" s="23">
        <v>500</v>
      </c>
      <c r="D34" s="39">
        <v>10.4</v>
      </c>
      <c r="E34" s="60">
        <v>67.7</v>
      </c>
      <c r="F34" s="65">
        <v>118.3</v>
      </c>
      <c r="G34" s="70">
        <v>95.6</v>
      </c>
      <c r="H34" s="40">
        <v>28.4</v>
      </c>
      <c r="I34" s="33">
        <v>-467.4</v>
      </c>
      <c r="J34" s="15">
        <v>-30.547359097255672</v>
      </c>
      <c r="K34" s="33">
        <v>-45.706811462278644</v>
      </c>
      <c r="L34" s="36">
        <f t="shared" si="0"/>
        <v>-233.65417055953429</v>
      </c>
      <c r="M34" s="1"/>
      <c r="N34" s="1"/>
    </row>
    <row r="35" spans="1:14" ht="20.100000000000001" thickBot="1">
      <c r="A35" s="22" t="s">
        <v>43</v>
      </c>
      <c r="B35" s="28" t="s">
        <v>44</v>
      </c>
      <c r="C35" s="23">
        <v>0</v>
      </c>
      <c r="D35" s="39">
        <v>12.8</v>
      </c>
      <c r="E35" s="60">
        <v>51.9</v>
      </c>
      <c r="F35" s="65">
        <v>84.8</v>
      </c>
      <c r="G35" s="70">
        <v>117.8</v>
      </c>
      <c r="H35" s="40">
        <v>88.4</v>
      </c>
      <c r="I35" s="33">
        <v>-453.3</v>
      </c>
      <c r="J35" s="15">
        <v>-47.069207502878029</v>
      </c>
      <c r="K35" s="33">
        <v>-49.642981381407914</v>
      </c>
      <c r="L35" s="36">
        <f t="shared" si="0"/>
        <v>-207.11218888428598</v>
      </c>
      <c r="M35" s="1"/>
      <c r="N35" s="1"/>
    </row>
    <row r="36" spans="1:14" ht="20.100000000000001" thickBot="1">
      <c r="A36" s="22" t="s">
        <v>43</v>
      </c>
      <c r="B36" s="28" t="s">
        <v>45</v>
      </c>
      <c r="C36" s="23">
        <v>500</v>
      </c>
      <c r="D36" s="39">
        <v>12.7</v>
      </c>
      <c r="E36" s="60">
        <v>45.2</v>
      </c>
      <c r="F36" s="65">
        <v>171</v>
      </c>
      <c r="G36" s="70">
        <v>105.6</v>
      </c>
      <c r="H36" s="40">
        <v>104.9</v>
      </c>
      <c r="I36" s="33">
        <v>-537.29999999999995</v>
      </c>
      <c r="J36" s="15">
        <v>-54.571763430273734</v>
      </c>
      <c r="K36" s="33">
        <v>-65.253498173704457</v>
      </c>
      <c r="L36" s="36">
        <f t="shared" si="0"/>
        <v>-230.42526160397821</v>
      </c>
      <c r="M36" s="1"/>
      <c r="N36" s="1"/>
    </row>
    <row r="37" spans="1:14" ht="20.100000000000001" thickBot="1">
      <c r="A37" s="22" t="s">
        <v>46</v>
      </c>
      <c r="B37" s="28" t="s">
        <v>47</v>
      </c>
      <c r="C37" s="23">
        <v>0</v>
      </c>
      <c r="D37" s="39">
        <v>14.5</v>
      </c>
      <c r="E37" s="60">
        <v>73.2</v>
      </c>
      <c r="F37" s="65">
        <v>116.9</v>
      </c>
      <c r="G37" s="70">
        <v>107.6</v>
      </c>
      <c r="H37" s="40">
        <v>105.5</v>
      </c>
      <c r="I37" s="33">
        <v>-505.1</v>
      </c>
      <c r="J37" s="15">
        <v>-149.64622752264029</v>
      </c>
      <c r="K37" s="33">
        <v>-47.353453477909483</v>
      </c>
      <c r="L37" s="36">
        <f t="shared" si="0"/>
        <v>-298.89968100054978</v>
      </c>
      <c r="M37" s="1"/>
      <c r="N37" s="1"/>
    </row>
    <row r="38" spans="1:14" ht="20.100000000000001" thickBot="1">
      <c r="A38" s="22" t="s">
        <v>46</v>
      </c>
      <c r="B38" s="28" t="s">
        <v>48</v>
      </c>
      <c r="C38" s="23">
        <v>500</v>
      </c>
      <c r="D38" s="39">
        <v>14.6</v>
      </c>
      <c r="E38" s="60">
        <v>106.6</v>
      </c>
      <c r="F38" s="65">
        <v>111.7</v>
      </c>
      <c r="G38" s="70">
        <v>117.5</v>
      </c>
      <c r="H38" s="40">
        <v>39.299999999999997</v>
      </c>
      <c r="I38" s="33">
        <v>-540.70000000000005</v>
      </c>
      <c r="J38" s="15">
        <v>-205.85554621613119</v>
      </c>
      <c r="K38" s="33">
        <v>-34.471122217687402</v>
      </c>
      <c r="L38" s="36">
        <f t="shared" si="0"/>
        <v>-405.92666843381863</v>
      </c>
      <c r="M38" s="1"/>
      <c r="N38" s="1"/>
    </row>
    <row r="39" spans="1:14" ht="20.100000000000001" thickBot="1">
      <c r="A39" s="22" t="s">
        <v>49</v>
      </c>
      <c r="B39" s="28" t="s">
        <v>50</v>
      </c>
      <c r="C39" s="23">
        <v>0</v>
      </c>
      <c r="D39" s="39">
        <v>16.8</v>
      </c>
      <c r="E39" s="60">
        <v>57.4</v>
      </c>
      <c r="F39" s="65">
        <v>153.69999999999999</v>
      </c>
      <c r="G39" s="70">
        <v>111.8</v>
      </c>
      <c r="H39" s="40">
        <v>34.4</v>
      </c>
      <c r="I39" s="33">
        <v>-503.3</v>
      </c>
      <c r="J39" s="15">
        <v>-114.93345976617873</v>
      </c>
      <c r="K39" s="33">
        <v>-24.700771237145769</v>
      </c>
      <c r="L39" s="36">
        <f t="shared" si="0"/>
        <v>-285.63423100332454</v>
      </c>
      <c r="M39" s="1"/>
      <c r="N39" s="1"/>
    </row>
    <row r="40" spans="1:14" ht="20.100000000000001" thickBot="1">
      <c r="A40" s="22" t="s">
        <v>49</v>
      </c>
      <c r="B40" s="28" t="s">
        <v>51</v>
      </c>
      <c r="C40" s="23">
        <v>500</v>
      </c>
      <c r="D40" s="39">
        <v>16.5</v>
      </c>
      <c r="E40" s="60">
        <v>44</v>
      </c>
      <c r="F40" s="65">
        <v>126.8</v>
      </c>
      <c r="G40" s="70">
        <v>81.5</v>
      </c>
      <c r="H40" s="40">
        <v>98.2</v>
      </c>
      <c r="I40" s="33">
        <v>-513.79999999999995</v>
      </c>
      <c r="J40" s="15">
        <v>-114.41981063532216</v>
      </c>
      <c r="K40" s="33">
        <v>-26.893191498144255</v>
      </c>
      <c r="L40" s="36">
        <f t="shared" si="0"/>
        <v>-304.61300213346635</v>
      </c>
      <c r="M40" s="1"/>
      <c r="N40" s="1"/>
    </row>
    <row r="41" spans="1:14" ht="18.95" thickBot="1">
      <c r="A41" s="41"/>
      <c r="B41" s="23"/>
      <c r="C41" s="31"/>
      <c r="D41" s="33"/>
      <c r="E41" s="29">
        <f>AVERAGE(E29:E40)</f>
        <v>75.591666666666683</v>
      </c>
      <c r="F41" s="29">
        <f>AVERAGE(F29:F40)</f>
        <v>110.90833333333332</v>
      </c>
      <c r="G41" s="33"/>
      <c r="H41" s="33"/>
      <c r="I41" s="33"/>
      <c r="J41" s="33"/>
      <c r="K41" s="33"/>
      <c r="L41" s="36"/>
      <c r="M41" s="1"/>
      <c r="N41" s="1"/>
    </row>
    <row r="42" spans="1:14" ht="18.95" thickBot="1">
      <c r="A42" s="30">
        <v>2017</v>
      </c>
      <c r="B42" s="23"/>
      <c r="C42" s="31"/>
      <c r="D42" s="33"/>
      <c r="E42" s="33"/>
      <c r="F42" s="33"/>
      <c r="G42" s="33"/>
      <c r="H42" s="33"/>
      <c r="I42" s="33"/>
      <c r="J42" s="33"/>
      <c r="K42" s="33"/>
      <c r="L42" s="36"/>
      <c r="M42" s="1"/>
      <c r="N42" s="1"/>
    </row>
    <row r="43" spans="1:14" ht="20.100000000000001" thickBot="1">
      <c r="A43" s="22" t="s">
        <v>31</v>
      </c>
      <c r="B43" s="28" t="s">
        <v>34</v>
      </c>
      <c r="C43" s="23" t="s">
        <v>20</v>
      </c>
      <c r="D43" s="33">
        <v>5</v>
      </c>
      <c r="E43" s="60">
        <v>81.2</v>
      </c>
      <c r="F43" s="65">
        <v>77</v>
      </c>
      <c r="G43" s="70">
        <v>124.4</v>
      </c>
      <c r="H43" s="34">
        <v>10.7</v>
      </c>
      <c r="I43" s="33">
        <v>-352</v>
      </c>
      <c r="J43" s="15">
        <v>-48.950020925690801</v>
      </c>
      <c r="K43" s="35">
        <v>-33</v>
      </c>
      <c r="L43" s="36">
        <f t="shared" ref="L43:L54" si="1">SUM(E43:K43)</f>
        <v>-140.6500209256908</v>
      </c>
      <c r="M43" s="1"/>
      <c r="N43" s="1"/>
    </row>
    <row r="44" spans="1:14" ht="20.100000000000001" thickBot="1">
      <c r="A44" s="22" t="s">
        <v>31</v>
      </c>
      <c r="B44" s="28" t="s">
        <v>35</v>
      </c>
      <c r="C44" s="23" t="s">
        <v>20</v>
      </c>
      <c r="D44" s="33">
        <v>5.8</v>
      </c>
      <c r="E44" s="60">
        <v>120.1</v>
      </c>
      <c r="F44" s="65">
        <v>112.8</v>
      </c>
      <c r="G44" s="70">
        <v>265.8</v>
      </c>
      <c r="H44" s="37">
        <v>52.2</v>
      </c>
      <c r="I44" s="33">
        <v>-383.7</v>
      </c>
      <c r="J44" s="15">
        <v>-53.673663785268879</v>
      </c>
      <c r="K44" s="38">
        <v>-33</v>
      </c>
      <c r="L44" s="36">
        <f t="shared" si="1"/>
        <v>80.526336214731117</v>
      </c>
      <c r="M44" s="1"/>
      <c r="N44" s="1"/>
    </row>
    <row r="45" spans="1:14" ht="20.100000000000001" thickBot="1">
      <c r="A45" s="22" t="s">
        <v>37</v>
      </c>
      <c r="B45" s="28" t="s">
        <v>38</v>
      </c>
      <c r="C45" s="23">
        <v>0</v>
      </c>
      <c r="D45" s="39">
        <v>6.8</v>
      </c>
      <c r="E45" s="60">
        <v>58.5</v>
      </c>
      <c r="F45" s="65">
        <v>142.5</v>
      </c>
      <c r="G45" s="70">
        <v>101.8</v>
      </c>
      <c r="H45" s="37">
        <v>71.900000000000006</v>
      </c>
      <c r="I45" s="33">
        <v>-322.10000000000002</v>
      </c>
      <c r="J45" s="15">
        <v>-28.284361983794067</v>
      </c>
      <c r="K45" s="33">
        <v>-28.23000401418134</v>
      </c>
      <c r="L45" s="36">
        <f t="shared" si="1"/>
        <v>-3.9143659979753842</v>
      </c>
      <c r="M45" s="1"/>
      <c r="N45" s="1"/>
    </row>
    <row r="46" spans="1:14" ht="20.100000000000001" thickBot="1">
      <c r="A46" s="22" t="s">
        <v>37</v>
      </c>
      <c r="B46" s="28" t="s">
        <v>39</v>
      </c>
      <c r="C46" s="23">
        <v>500</v>
      </c>
      <c r="D46" s="39">
        <v>6.5</v>
      </c>
      <c r="E46" s="60">
        <v>130.6</v>
      </c>
      <c r="F46" s="65">
        <v>154.4</v>
      </c>
      <c r="G46" s="70">
        <v>118.5</v>
      </c>
      <c r="H46" s="37">
        <v>17.600000000000001</v>
      </c>
      <c r="I46" s="33">
        <v>-353.4</v>
      </c>
      <c r="J46" s="15">
        <v>-34.341044880456842</v>
      </c>
      <c r="K46" s="33">
        <v>-23.95990510010266</v>
      </c>
      <c r="L46" s="36">
        <f t="shared" si="1"/>
        <v>9.3990500194405442</v>
      </c>
      <c r="M46" s="1"/>
      <c r="N46" s="1"/>
    </row>
    <row r="47" spans="1:14" ht="20.100000000000001" thickBot="1">
      <c r="A47" s="22" t="s">
        <v>40</v>
      </c>
      <c r="B47" s="28" t="s">
        <v>41</v>
      </c>
      <c r="C47" s="23">
        <v>0</v>
      </c>
      <c r="D47" s="39">
        <v>9.1999999999999993</v>
      </c>
      <c r="E47" s="60">
        <v>173</v>
      </c>
      <c r="F47" s="65">
        <v>90.2</v>
      </c>
      <c r="G47" s="70">
        <v>119.6</v>
      </c>
      <c r="H47" s="37">
        <v>73.599999999999994</v>
      </c>
      <c r="I47" s="33">
        <v>-411.4</v>
      </c>
      <c r="J47" s="15">
        <v>-24.412380053038373</v>
      </c>
      <c r="K47" s="33">
        <v>-34.251367592146195</v>
      </c>
      <c r="L47" s="36">
        <f t="shared" si="1"/>
        <v>-13.663747645184568</v>
      </c>
      <c r="M47" s="1"/>
      <c r="N47" s="1"/>
    </row>
    <row r="48" spans="1:14" ht="20.100000000000001" thickBot="1">
      <c r="A48" s="22" t="s">
        <v>40</v>
      </c>
      <c r="B48" s="28" t="s">
        <v>42</v>
      </c>
      <c r="C48" s="23">
        <v>500</v>
      </c>
      <c r="D48" s="39">
        <v>9.1999999999999993</v>
      </c>
      <c r="E48" s="60">
        <v>85.4</v>
      </c>
      <c r="F48" s="65">
        <v>83</v>
      </c>
      <c r="G48" s="70">
        <v>59.6</v>
      </c>
      <c r="H48" s="37">
        <v>48.7</v>
      </c>
      <c r="I48" s="33">
        <v>-373</v>
      </c>
      <c r="J48" s="15">
        <v>-27.806817627367831</v>
      </c>
      <c r="K48" s="33">
        <v>-18.541752385102555</v>
      </c>
      <c r="L48" s="36">
        <f t="shared" si="1"/>
        <v>-142.6485700124704</v>
      </c>
      <c r="M48" s="1"/>
      <c r="N48" s="1"/>
    </row>
    <row r="49" spans="1:14" ht="20.100000000000001" thickBot="1">
      <c r="A49" s="22" t="s">
        <v>43</v>
      </c>
      <c r="B49" s="28" t="s">
        <v>44</v>
      </c>
      <c r="C49" s="23">
        <v>0</v>
      </c>
      <c r="D49" s="39">
        <v>11.2</v>
      </c>
      <c r="E49" s="60">
        <v>57.3</v>
      </c>
      <c r="F49" s="65">
        <v>112.8</v>
      </c>
      <c r="G49" s="70">
        <v>94</v>
      </c>
      <c r="H49" s="37">
        <v>85.7</v>
      </c>
      <c r="I49" s="33">
        <v>-397.5</v>
      </c>
      <c r="J49" s="15">
        <v>-36.795523237494521</v>
      </c>
      <c r="K49" s="33">
        <v>-24.403030146856185</v>
      </c>
      <c r="L49" s="36">
        <f t="shared" si="1"/>
        <v>-108.89855338435069</v>
      </c>
      <c r="M49" s="1"/>
      <c r="N49" s="1"/>
    </row>
    <row r="50" spans="1:14" ht="20.100000000000001" thickBot="1">
      <c r="A50" s="22" t="s">
        <v>43</v>
      </c>
      <c r="B50" s="28" t="s">
        <v>45</v>
      </c>
      <c r="C50" s="23">
        <v>500</v>
      </c>
      <c r="D50" s="39">
        <v>11.3</v>
      </c>
      <c r="E50" s="60">
        <v>68</v>
      </c>
      <c r="F50" s="65">
        <v>169.9</v>
      </c>
      <c r="G50" s="70">
        <v>23.9</v>
      </c>
      <c r="H50" s="37">
        <v>108.8</v>
      </c>
      <c r="I50" s="33">
        <v>-453.3</v>
      </c>
      <c r="J50" s="15">
        <v>-46.379922144868743</v>
      </c>
      <c r="K50" s="33">
        <v>-37.930543336553342</v>
      </c>
      <c r="L50" s="36">
        <f t="shared" si="1"/>
        <v>-167.01046548142207</v>
      </c>
      <c r="M50" s="1"/>
      <c r="N50" s="1"/>
    </row>
    <row r="51" spans="1:14" ht="20.100000000000001" thickBot="1">
      <c r="A51" s="22" t="s">
        <v>46</v>
      </c>
      <c r="B51" s="28" t="s">
        <v>47</v>
      </c>
      <c r="C51" s="23">
        <v>0</v>
      </c>
      <c r="D51" s="39">
        <v>13.3</v>
      </c>
      <c r="E51" s="60">
        <v>90</v>
      </c>
      <c r="F51" s="65">
        <v>107.3</v>
      </c>
      <c r="G51" s="70">
        <v>53.6</v>
      </c>
      <c r="H51" s="37">
        <v>75.099999999999994</v>
      </c>
      <c r="I51" s="33">
        <v>-479.6</v>
      </c>
      <c r="J51" s="15">
        <v>-127.83003433147491</v>
      </c>
      <c r="K51" s="33">
        <v>-35.392852287212932</v>
      </c>
      <c r="L51" s="36">
        <f t="shared" si="1"/>
        <v>-316.82288661868785</v>
      </c>
      <c r="M51" s="1"/>
      <c r="N51" s="1"/>
    </row>
    <row r="52" spans="1:14" ht="20.100000000000001" thickBot="1">
      <c r="A52" s="22" t="s">
        <v>46</v>
      </c>
      <c r="B52" s="28" t="s">
        <v>48</v>
      </c>
      <c r="C52" s="23">
        <v>500</v>
      </c>
      <c r="D52" s="39">
        <v>13.4</v>
      </c>
      <c r="E52" s="60">
        <v>102.7</v>
      </c>
      <c r="F52" s="65">
        <v>142.9</v>
      </c>
      <c r="G52" s="70">
        <v>70.900000000000006</v>
      </c>
      <c r="H52" s="37">
        <v>150.80000000000001</v>
      </c>
      <c r="I52" s="33">
        <v>-520.79999999999995</v>
      </c>
      <c r="J52" s="15">
        <v>-205.08003688006468</v>
      </c>
      <c r="K52" s="33">
        <v>-20.724991792592782</v>
      </c>
      <c r="L52" s="36">
        <f t="shared" si="1"/>
        <v>-279.30502867265744</v>
      </c>
      <c r="M52" s="1"/>
      <c r="N52" s="1"/>
    </row>
    <row r="53" spans="1:14" ht="20.100000000000001" thickBot="1">
      <c r="A53" s="22" t="s">
        <v>49</v>
      </c>
      <c r="B53" s="28" t="s">
        <v>50</v>
      </c>
      <c r="C53" s="23">
        <v>0</v>
      </c>
      <c r="D53" s="39">
        <v>15.5</v>
      </c>
      <c r="E53" s="60">
        <v>33.200000000000003</v>
      </c>
      <c r="F53" s="65">
        <v>101.8</v>
      </c>
      <c r="G53" s="70">
        <v>25.5</v>
      </c>
      <c r="H53" s="37">
        <v>163.6</v>
      </c>
      <c r="I53" s="33">
        <v>-474.6</v>
      </c>
      <c r="J53" s="15">
        <v>-86.619773992798656</v>
      </c>
      <c r="K53" s="33">
        <v>-10.787728208810243</v>
      </c>
      <c r="L53" s="36">
        <f t="shared" si="1"/>
        <v>-247.90750220160891</v>
      </c>
      <c r="M53" s="1"/>
      <c r="N53" s="1"/>
    </row>
    <row r="54" spans="1:14" ht="20.100000000000001" thickBot="1">
      <c r="A54" s="22" t="s">
        <v>49</v>
      </c>
      <c r="B54" s="28" t="s">
        <v>51</v>
      </c>
      <c r="C54" s="23">
        <v>500</v>
      </c>
      <c r="D54" s="39">
        <v>15.4</v>
      </c>
      <c r="E54" s="60">
        <v>58.1</v>
      </c>
      <c r="F54" s="65">
        <v>253.4</v>
      </c>
      <c r="G54" s="70">
        <v>14.6</v>
      </c>
      <c r="H54" s="37">
        <v>134.30000000000001</v>
      </c>
      <c r="I54" s="33">
        <v>-490.6</v>
      </c>
      <c r="J54" s="15">
        <v>-87.525789872695256</v>
      </c>
      <c r="K54" s="33">
        <v>-17.913818949352407</v>
      </c>
      <c r="L54" s="36">
        <f t="shared" si="1"/>
        <v>-135.63960882204765</v>
      </c>
      <c r="M54" s="1"/>
      <c r="N54" s="1"/>
    </row>
    <row r="55" spans="1:14" ht="18.95" thickBot="1">
      <c r="A55" s="30"/>
      <c r="B55" s="23"/>
      <c r="C55" s="31"/>
      <c r="D55" s="33"/>
      <c r="E55" s="29">
        <f>AVERAGE(E43:E54)</f>
        <v>88.174999999999997</v>
      </c>
      <c r="F55" s="29">
        <f>AVERAGE(F43:F54)</f>
        <v>129.00000000000003</v>
      </c>
      <c r="G55" s="33"/>
      <c r="H55" s="33"/>
      <c r="I55" s="33"/>
      <c r="J55" s="33"/>
      <c r="K55" s="33"/>
      <c r="L55" s="36"/>
      <c r="M55" s="1"/>
      <c r="N55" s="1"/>
    </row>
    <row r="56" spans="1:14" ht="18.95" thickBot="1">
      <c r="A56" s="30">
        <v>2018</v>
      </c>
      <c r="B56" s="23"/>
      <c r="C56" s="31"/>
      <c r="D56" s="33"/>
      <c r="E56" s="33"/>
      <c r="F56" s="33"/>
      <c r="G56" s="33"/>
      <c r="H56" s="33"/>
      <c r="I56" s="33"/>
      <c r="J56" s="33"/>
      <c r="K56" s="33"/>
      <c r="L56" s="36"/>
      <c r="M56" s="1"/>
      <c r="N56" s="1"/>
    </row>
    <row r="57" spans="1:14" ht="20.100000000000001" thickBot="1">
      <c r="A57" s="22" t="s">
        <v>31</v>
      </c>
      <c r="B57" s="28" t="s">
        <v>34</v>
      </c>
      <c r="C57" s="23" t="s">
        <v>20</v>
      </c>
      <c r="D57" s="33">
        <v>4</v>
      </c>
      <c r="E57" s="60">
        <v>68.2</v>
      </c>
      <c r="F57" s="65">
        <v>91.4</v>
      </c>
      <c r="G57" s="70">
        <v>140</v>
      </c>
      <c r="H57" s="42">
        <f>AVERAGE(H29,H43)</f>
        <v>10.050000000000001</v>
      </c>
      <c r="I57" s="43">
        <v>-356.9</v>
      </c>
      <c r="J57" s="15">
        <v>-52.469029368593937</v>
      </c>
      <c r="K57" s="43">
        <v>-33</v>
      </c>
      <c r="L57" s="36">
        <f t="shared" ref="L57:L68" si="2">SUM(E57:K57)</f>
        <v>-132.71902936859388</v>
      </c>
      <c r="M57" s="1"/>
      <c r="N57" s="1"/>
    </row>
    <row r="58" spans="1:14" ht="20.100000000000001" thickBot="1">
      <c r="A58" s="22" t="s">
        <v>31</v>
      </c>
      <c r="B58" s="28" t="s">
        <v>35</v>
      </c>
      <c r="C58" s="23" t="s">
        <v>20</v>
      </c>
      <c r="D58" s="33">
        <v>4.4000000000000004</v>
      </c>
      <c r="E58" s="60">
        <v>104.9</v>
      </c>
      <c r="F58" s="65">
        <v>79.3</v>
      </c>
      <c r="G58" s="70">
        <v>140</v>
      </c>
      <c r="H58" s="42">
        <f t="shared" ref="H58:H68" si="3">AVERAGE(H30,H44)</f>
        <v>46.75</v>
      </c>
      <c r="I58" s="43">
        <v>-371.3</v>
      </c>
      <c r="J58" s="15">
        <v>-52.812598773037053</v>
      </c>
      <c r="K58" s="43">
        <v>-33</v>
      </c>
      <c r="L58" s="36">
        <f t="shared" si="2"/>
        <v>-86.162598773037075</v>
      </c>
      <c r="M58" s="1"/>
      <c r="N58" s="1"/>
    </row>
    <row r="59" spans="1:14" ht="20.100000000000001" thickBot="1">
      <c r="A59" s="22" t="s">
        <v>37</v>
      </c>
      <c r="B59" s="28" t="s">
        <v>38</v>
      </c>
      <c r="C59" s="23">
        <v>0</v>
      </c>
      <c r="D59" s="39">
        <v>6.4</v>
      </c>
      <c r="E59" s="60">
        <v>47.8</v>
      </c>
      <c r="F59" s="65">
        <v>97.6</v>
      </c>
      <c r="G59" s="70">
        <v>204.5</v>
      </c>
      <c r="H59" s="42">
        <f t="shared" si="3"/>
        <v>67.7</v>
      </c>
      <c r="I59" s="33">
        <v>-324.10000000000002</v>
      </c>
      <c r="J59" s="15">
        <v>-25.712472608387483</v>
      </c>
      <c r="K59" s="33">
        <v>-32.334302763100254</v>
      </c>
      <c r="L59" s="36">
        <f t="shared" si="2"/>
        <v>35.453224628512203</v>
      </c>
      <c r="M59" s="1"/>
      <c r="N59" s="1"/>
    </row>
    <row r="60" spans="1:14" ht="20.100000000000001" thickBot="1">
      <c r="A60" s="22" t="s">
        <v>37</v>
      </c>
      <c r="B60" s="28" t="s">
        <v>39</v>
      </c>
      <c r="C60" s="23">
        <v>500</v>
      </c>
      <c r="D60" s="39">
        <v>6</v>
      </c>
      <c r="E60" s="60">
        <v>99.3</v>
      </c>
      <c r="F60" s="65">
        <v>111.3</v>
      </c>
      <c r="G60" s="70">
        <v>81.8</v>
      </c>
      <c r="H60" s="42">
        <f t="shared" si="3"/>
        <v>25.75</v>
      </c>
      <c r="I60" s="33">
        <v>-327.39999999999998</v>
      </c>
      <c r="J60" s="15">
        <v>-30.923430322644474</v>
      </c>
      <c r="K60" s="33">
        <v>-23.974115088209597</v>
      </c>
      <c r="L60" s="36">
        <f t="shared" si="2"/>
        <v>-64.147545410854079</v>
      </c>
      <c r="M60" s="1"/>
      <c r="N60" s="1"/>
    </row>
    <row r="61" spans="1:14" ht="20.100000000000001" thickBot="1">
      <c r="A61" s="22" t="s">
        <v>40</v>
      </c>
      <c r="B61" s="28" t="s">
        <v>41</v>
      </c>
      <c r="C61" s="23">
        <v>0</v>
      </c>
      <c r="D61" s="39">
        <v>8.5</v>
      </c>
      <c r="E61" s="60">
        <v>158.5</v>
      </c>
      <c r="F61" s="65">
        <v>59.2</v>
      </c>
      <c r="G61" s="70">
        <v>190.9</v>
      </c>
      <c r="H61" s="42">
        <f t="shared" si="3"/>
        <v>90.6</v>
      </c>
      <c r="I61" s="33">
        <v>-386.9</v>
      </c>
      <c r="J61" s="15">
        <v>-24.019396956062604</v>
      </c>
      <c r="K61" s="33">
        <v>-56.469654834192959</v>
      </c>
      <c r="L61" s="36">
        <f t="shared" si="2"/>
        <v>31.810948209744502</v>
      </c>
      <c r="M61" s="1"/>
      <c r="N61" s="1"/>
    </row>
    <row r="62" spans="1:14" ht="20.100000000000001" thickBot="1">
      <c r="A62" s="22" t="s">
        <v>40</v>
      </c>
      <c r="B62" s="28" t="s">
        <v>42</v>
      </c>
      <c r="C62" s="23">
        <v>500</v>
      </c>
      <c r="D62" s="39">
        <v>8.6999999999999993</v>
      </c>
      <c r="E62" s="60">
        <v>65.400000000000006</v>
      </c>
      <c r="F62" s="65">
        <v>100.9</v>
      </c>
      <c r="G62" s="70">
        <v>114</v>
      </c>
      <c r="H62" s="42">
        <f t="shared" si="3"/>
        <v>38.549999999999997</v>
      </c>
      <c r="I62" s="33">
        <v>-382</v>
      </c>
      <c r="J62" s="15">
        <v>-23.858640219036239</v>
      </c>
      <c r="K62" s="33">
        <v>-28.689739139191527</v>
      </c>
      <c r="L62" s="36">
        <f t="shared" si="2"/>
        <v>-115.69837935822774</v>
      </c>
      <c r="M62" s="1"/>
      <c r="N62" s="1"/>
    </row>
    <row r="63" spans="1:14" ht="20.100000000000001" thickBot="1">
      <c r="A63" s="22" t="s">
        <v>43</v>
      </c>
      <c r="B63" s="28" t="s">
        <v>44</v>
      </c>
      <c r="C63" s="23">
        <v>0</v>
      </c>
      <c r="D63" s="39">
        <v>10.9</v>
      </c>
      <c r="E63" s="60">
        <v>67.099999999999994</v>
      </c>
      <c r="F63" s="65">
        <v>105.4</v>
      </c>
      <c r="G63" s="70">
        <v>84.6</v>
      </c>
      <c r="H63" s="42">
        <f t="shared" si="3"/>
        <v>87.050000000000011</v>
      </c>
      <c r="I63" s="33">
        <v>-390.6</v>
      </c>
      <c r="J63" s="15">
        <v>-37.733384113139998</v>
      </c>
      <c r="K63" s="33">
        <v>-32.369235415335815</v>
      </c>
      <c r="L63" s="36">
        <f t="shared" si="2"/>
        <v>-116.55261952847582</v>
      </c>
      <c r="M63" s="1"/>
      <c r="N63" s="1"/>
    </row>
    <row r="64" spans="1:14" ht="20.100000000000001" thickBot="1">
      <c r="A64" s="22" t="s">
        <v>43</v>
      </c>
      <c r="B64" s="28" t="s">
        <v>45</v>
      </c>
      <c r="C64" s="23">
        <v>500</v>
      </c>
      <c r="D64" s="39">
        <v>10.8</v>
      </c>
      <c r="E64" s="60">
        <v>55.6</v>
      </c>
      <c r="F64" s="65">
        <v>114.7</v>
      </c>
      <c r="G64" s="70">
        <v>29.1</v>
      </c>
      <c r="H64" s="42">
        <f t="shared" si="3"/>
        <v>106.85</v>
      </c>
      <c r="I64" s="33">
        <v>-456.8</v>
      </c>
      <c r="J64" s="15">
        <v>-43.186065010440885</v>
      </c>
      <c r="K64" s="33">
        <v>-51.439929359110508</v>
      </c>
      <c r="L64" s="36">
        <f t="shared" si="2"/>
        <v>-245.1759943695514</v>
      </c>
      <c r="M64" s="1"/>
      <c r="N64" s="1"/>
    </row>
    <row r="65" spans="1:14" ht="20.100000000000001" thickBot="1">
      <c r="A65" s="22" t="s">
        <v>46</v>
      </c>
      <c r="B65" s="28" t="s">
        <v>47</v>
      </c>
      <c r="C65" s="23">
        <v>0</v>
      </c>
      <c r="D65" s="39">
        <v>13</v>
      </c>
      <c r="E65" s="60">
        <v>83.6</v>
      </c>
      <c r="F65" s="65">
        <v>171.2</v>
      </c>
      <c r="G65" s="70">
        <v>42.5</v>
      </c>
      <c r="H65" s="42">
        <f t="shared" si="3"/>
        <v>90.3</v>
      </c>
      <c r="I65" s="33">
        <v>-471.7</v>
      </c>
      <c r="J65" s="15">
        <v>-176.24328493768999</v>
      </c>
      <c r="K65" s="33">
        <v>-52.388580142736679</v>
      </c>
      <c r="L65" s="36">
        <f t="shared" si="2"/>
        <v>-312.73186508042664</v>
      </c>
      <c r="M65" s="1"/>
      <c r="N65" s="1"/>
    </row>
    <row r="66" spans="1:14" ht="20.100000000000001" thickBot="1">
      <c r="A66" s="22" t="s">
        <v>46</v>
      </c>
      <c r="B66" s="28" t="s">
        <v>48</v>
      </c>
      <c r="C66" s="23">
        <v>500</v>
      </c>
      <c r="D66" s="39">
        <v>12.9</v>
      </c>
      <c r="E66" s="60">
        <v>89.6</v>
      </c>
      <c r="F66" s="65">
        <v>100.3</v>
      </c>
      <c r="G66" s="70">
        <v>29.2</v>
      </c>
      <c r="H66" s="42">
        <f t="shared" si="3"/>
        <v>95.050000000000011</v>
      </c>
      <c r="I66" s="33">
        <v>-510.6</v>
      </c>
      <c r="J66" s="15">
        <v>-222.68104988486954</v>
      </c>
      <c r="K66" s="33">
        <v>-36.747732065994562</v>
      </c>
      <c r="L66" s="36">
        <f t="shared" si="2"/>
        <v>-455.87878195086415</v>
      </c>
      <c r="M66" s="1"/>
      <c r="N66" s="1"/>
    </row>
    <row r="67" spans="1:14" ht="20.100000000000001" thickBot="1">
      <c r="A67" s="22" t="s">
        <v>49</v>
      </c>
      <c r="B67" s="28" t="s">
        <v>50</v>
      </c>
      <c r="C67" s="23">
        <v>0</v>
      </c>
      <c r="D67" s="39">
        <v>15</v>
      </c>
      <c r="E67" s="60">
        <v>48.6</v>
      </c>
      <c r="F67" s="65">
        <v>103.4</v>
      </c>
      <c r="G67" s="70">
        <v>13.2</v>
      </c>
      <c r="H67" s="42">
        <f t="shared" si="3"/>
        <v>99</v>
      </c>
      <c r="I67" s="33">
        <v>-467.4</v>
      </c>
      <c r="J67" s="15">
        <v>-99.202508274661653</v>
      </c>
      <c r="K67" s="33">
        <v>-41.744611078699023</v>
      </c>
      <c r="L67" s="36">
        <f t="shared" si="2"/>
        <v>-344.14711935336061</v>
      </c>
      <c r="M67" s="1"/>
      <c r="N67" s="1"/>
    </row>
    <row r="68" spans="1:14" ht="20.100000000000001" thickBot="1">
      <c r="A68" s="22" t="s">
        <v>49</v>
      </c>
      <c r="B68" s="28" t="s">
        <v>51</v>
      </c>
      <c r="C68" s="23">
        <v>500</v>
      </c>
      <c r="D68" s="39">
        <v>15.1</v>
      </c>
      <c r="E68" s="60">
        <v>59.6</v>
      </c>
      <c r="F68" s="65">
        <v>140.6</v>
      </c>
      <c r="G68" s="70">
        <v>46.9</v>
      </c>
      <c r="H68" s="42">
        <f t="shared" si="3"/>
        <v>116.25</v>
      </c>
      <c r="I68" s="33">
        <v>-481.3</v>
      </c>
      <c r="J68" s="15">
        <v>-83.257924457440453</v>
      </c>
      <c r="K68" s="33">
        <v>-30.869889526585947</v>
      </c>
      <c r="L68" s="36">
        <f t="shared" si="2"/>
        <v>-232.07781398402639</v>
      </c>
      <c r="M68" s="1"/>
      <c r="N68" s="1"/>
    </row>
    <row r="69" spans="1:14" ht="20.100000000000001" thickBot="1">
      <c r="A69" s="12"/>
      <c r="B69" s="12"/>
      <c r="C69" s="12"/>
      <c r="D69" s="44"/>
      <c r="E69" s="29">
        <f>AVERAGE(E57:E68)</f>
        <v>79.01666666666668</v>
      </c>
      <c r="F69" s="29">
        <f>AVERAGE(F57:F68)</f>
        <v>106.27499999999999</v>
      </c>
      <c r="G69" s="44"/>
      <c r="H69" s="45"/>
      <c r="I69" s="44"/>
      <c r="J69" s="44"/>
      <c r="K69" s="44"/>
      <c r="L69" s="44"/>
      <c r="M69" s="1"/>
      <c r="N69" s="1"/>
    </row>
    <row r="70" spans="1:14" ht="18">
      <c r="A70" s="46">
        <v>2019</v>
      </c>
      <c r="B70" s="47"/>
      <c r="C70" s="48"/>
      <c r="D70" s="49"/>
      <c r="E70" s="49"/>
      <c r="F70" s="49"/>
      <c r="G70" s="49"/>
      <c r="H70" s="49"/>
      <c r="I70" s="49"/>
      <c r="J70" s="49"/>
      <c r="K70" s="49"/>
      <c r="L70" s="50"/>
      <c r="M70" s="1"/>
      <c r="N70" s="1"/>
    </row>
    <row r="71" spans="1:14" ht="18.95">
      <c r="A71" s="13" t="s">
        <v>31</v>
      </c>
      <c r="B71" s="14" t="s">
        <v>34</v>
      </c>
      <c r="C71" s="13" t="s">
        <v>20</v>
      </c>
      <c r="D71" s="15">
        <v>3.8116666681723061</v>
      </c>
      <c r="E71" s="61">
        <v>85.1</v>
      </c>
      <c r="F71" s="66">
        <v>84.910791993037407</v>
      </c>
      <c r="G71" s="52">
        <v>140</v>
      </c>
      <c r="H71" s="53">
        <f>AVERAGE(H43,H57)</f>
        <v>10.375</v>
      </c>
      <c r="I71" s="52">
        <v>-305.88129603310182</v>
      </c>
      <c r="J71" s="15">
        <v>-43.366653986991764</v>
      </c>
      <c r="K71" s="52">
        <v>-30</v>
      </c>
      <c r="L71" s="54">
        <f t="shared" ref="L71:L82" si="4">SUM(E71:K71)</f>
        <v>-58.862158027056182</v>
      </c>
      <c r="M71" s="1"/>
      <c r="N71" s="1"/>
    </row>
    <row r="72" spans="1:14" ht="18.95">
      <c r="A72" s="13" t="s">
        <v>31</v>
      </c>
      <c r="B72" s="14" t="s">
        <v>35</v>
      </c>
      <c r="C72" s="13" t="s">
        <v>20</v>
      </c>
      <c r="D72" s="15">
        <v>3.7393655323830544</v>
      </c>
      <c r="E72" s="61">
        <v>92.7</v>
      </c>
      <c r="F72" s="66">
        <v>108.5113141862489</v>
      </c>
      <c r="G72" s="52">
        <v>140</v>
      </c>
      <c r="H72" s="53">
        <f t="shared" ref="H72:H82" si="5">AVERAGE(H44,H58)</f>
        <v>49.475000000000001</v>
      </c>
      <c r="I72" s="52">
        <v>-327.66916073806044</v>
      </c>
      <c r="J72" s="15">
        <v>-88.999348298468547</v>
      </c>
      <c r="K72" s="52">
        <v>-30</v>
      </c>
      <c r="L72" s="54">
        <f t="shared" si="4"/>
        <v>-55.982194850280067</v>
      </c>
      <c r="M72" s="1"/>
      <c r="N72" s="1"/>
    </row>
    <row r="73" spans="1:14" ht="18.95">
      <c r="A73" s="13" t="s">
        <v>37</v>
      </c>
      <c r="B73" s="14" t="s">
        <v>38</v>
      </c>
      <c r="C73" s="13">
        <v>0</v>
      </c>
      <c r="D73" s="15">
        <v>5.5852804552969424</v>
      </c>
      <c r="E73" s="61">
        <v>53.2</v>
      </c>
      <c r="F73" s="66">
        <v>44.498694516971277</v>
      </c>
      <c r="G73" s="71">
        <v>198.1</v>
      </c>
      <c r="H73" s="53">
        <f t="shared" si="5"/>
        <v>69.800000000000011</v>
      </c>
      <c r="I73" s="51">
        <v>-347.80529497794441</v>
      </c>
      <c r="J73" s="15">
        <v>-8.847596900926872</v>
      </c>
      <c r="K73" s="51">
        <v>-29.636919280486303</v>
      </c>
      <c r="L73" s="54">
        <f t="shared" si="4"/>
        <v>-20.691116642386284</v>
      </c>
      <c r="M73" s="1"/>
      <c r="N73" s="1"/>
    </row>
    <row r="74" spans="1:14" ht="18.95">
      <c r="A74" s="13" t="s">
        <v>37</v>
      </c>
      <c r="B74" s="14" t="s">
        <v>39</v>
      </c>
      <c r="C74" s="13">
        <v>500</v>
      </c>
      <c r="D74" s="15">
        <v>4.9921890073716293</v>
      </c>
      <c r="E74" s="61">
        <v>111.1</v>
      </c>
      <c r="F74" s="66">
        <v>74.04960835509138</v>
      </c>
      <c r="G74" s="71">
        <v>135.13999999999999</v>
      </c>
      <c r="H74" s="53">
        <f t="shared" si="5"/>
        <v>21.675000000000001</v>
      </c>
      <c r="I74" s="51">
        <v>-348.45026907019178</v>
      </c>
      <c r="J74" s="15">
        <v>-9.003714575134584</v>
      </c>
      <c r="K74" s="51">
        <v>-14.220214636658394</v>
      </c>
      <c r="L74" s="54">
        <f t="shared" si="4"/>
        <v>-29.709589926893415</v>
      </c>
      <c r="M74" s="1"/>
      <c r="N74" s="1"/>
    </row>
    <row r="75" spans="1:14" ht="18.95">
      <c r="A75" s="13" t="s">
        <v>40</v>
      </c>
      <c r="B75" s="14" t="s">
        <v>41</v>
      </c>
      <c r="C75" s="13">
        <v>0</v>
      </c>
      <c r="D75" s="15">
        <v>7.6006292855009043</v>
      </c>
      <c r="E75" s="61">
        <v>150.4</v>
      </c>
      <c r="F75" s="66">
        <v>103.90626631853787</v>
      </c>
      <c r="G75" s="71">
        <v>135.47399999999999</v>
      </c>
      <c r="H75" s="53">
        <f t="shared" si="5"/>
        <v>82.1</v>
      </c>
      <c r="I75" s="51">
        <v>-391.91031581278031</v>
      </c>
      <c r="J75" s="15">
        <v>-36.52990808147095</v>
      </c>
      <c r="K75" s="51">
        <v>-54.610093403441539</v>
      </c>
      <c r="L75" s="54">
        <f t="shared" si="4"/>
        <v>-11.170050979154894</v>
      </c>
      <c r="M75" s="1"/>
      <c r="N75" s="1"/>
    </row>
    <row r="76" spans="1:14" ht="18.95">
      <c r="A76" s="13" t="s">
        <v>40</v>
      </c>
      <c r="B76" s="14" t="s">
        <v>42</v>
      </c>
      <c r="C76" s="13">
        <v>500</v>
      </c>
      <c r="D76" s="15">
        <v>7.7287962456783106</v>
      </c>
      <c r="E76" s="61">
        <v>92.7</v>
      </c>
      <c r="F76" s="66">
        <v>79.790252393385558</v>
      </c>
      <c r="G76" s="71">
        <v>76.716999999999999</v>
      </c>
      <c r="H76" s="53">
        <f t="shared" si="5"/>
        <v>43.625</v>
      </c>
      <c r="I76" s="51">
        <v>-405.39139586569274</v>
      </c>
      <c r="J76" s="15">
        <v>-33.29294554481077</v>
      </c>
      <c r="K76" s="51">
        <v>-25.872010876568115</v>
      </c>
      <c r="L76" s="54">
        <f t="shared" si="4"/>
        <v>-171.72409989368609</v>
      </c>
      <c r="M76" s="1"/>
      <c r="N76" s="1"/>
    </row>
    <row r="77" spans="1:14" ht="18.95">
      <c r="A77" s="13" t="s">
        <v>43</v>
      </c>
      <c r="B77" s="14" t="s">
        <v>44</v>
      </c>
      <c r="C77" s="13">
        <v>0</v>
      </c>
      <c r="D77" s="15">
        <v>10.155421440848107</v>
      </c>
      <c r="E77" s="61">
        <v>83.6</v>
      </c>
      <c r="F77" s="66">
        <v>130.5626631853786</v>
      </c>
      <c r="G77" s="71">
        <v>46.973999999999997</v>
      </c>
      <c r="H77" s="53">
        <f t="shared" si="5"/>
        <v>86.375</v>
      </c>
      <c r="I77" s="51">
        <v>-427.18602650778968</v>
      </c>
      <c r="J77" s="15">
        <v>-91.89586516465161</v>
      </c>
      <c r="K77" s="51">
        <v>-25.85621908368941</v>
      </c>
      <c r="L77" s="54">
        <f t="shared" si="4"/>
        <v>-197.42644757075209</v>
      </c>
      <c r="M77" s="1"/>
      <c r="N77" s="1"/>
    </row>
    <row r="78" spans="1:14" ht="18.95">
      <c r="A78" s="13" t="s">
        <v>43</v>
      </c>
      <c r="B78" s="14" t="s">
        <v>45</v>
      </c>
      <c r="C78" s="13">
        <v>500</v>
      </c>
      <c r="D78" s="15">
        <v>9.9670640313031207</v>
      </c>
      <c r="E78" s="61">
        <v>88.3</v>
      </c>
      <c r="F78" s="66">
        <v>165.04743255004351</v>
      </c>
      <c r="G78" s="71">
        <v>16.591000000000001</v>
      </c>
      <c r="H78" s="53">
        <f t="shared" si="5"/>
        <v>107.82499999999999</v>
      </c>
      <c r="I78" s="51">
        <v>-381.07052048887448</v>
      </c>
      <c r="J78" s="15">
        <v>-123.7546364347874</v>
      </c>
      <c r="K78" s="51">
        <v>-46.858039699050259</v>
      </c>
      <c r="L78" s="54">
        <f t="shared" si="4"/>
        <v>-173.91976407266864</v>
      </c>
      <c r="M78" s="1"/>
      <c r="N78" s="1"/>
    </row>
    <row r="79" spans="1:14" ht="18.95">
      <c r="A79" s="13" t="s">
        <v>46</v>
      </c>
      <c r="B79" s="14" t="s">
        <v>47</v>
      </c>
      <c r="C79" s="13">
        <v>0</v>
      </c>
      <c r="D79" s="15">
        <v>12.267073820393003</v>
      </c>
      <c r="E79" s="61">
        <v>86</v>
      </c>
      <c r="F79" s="66">
        <v>72.181026979982605</v>
      </c>
      <c r="G79" s="71">
        <v>29.765000000000001</v>
      </c>
      <c r="H79" s="53">
        <f t="shared" si="5"/>
        <v>82.699999999999989</v>
      </c>
      <c r="I79" s="51">
        <v>-427.79328512151426</v>
      </c>
      <c r="J79" s="15">
        <v>-158.78070097955418</v>
      </c>
      <c r="K79" s="51">
        <v>-45.478800120027557</v>
      </c>
      <c r="L79" s="54">
        <f t="shared" si="4"/>
        <v>-361.40675924111338</v>
      </c>
      <c r="M79" s="1"/>
      <c r="N79" s="1"/>
    </row>
    <row r="80" spans="1:14" ht="18.95">
      <c r="A80" s="13" t="s">
        <v>46</v>
      </c>
      <c r="B80" s="14" t="s">
        <v>48</v>
      </c>
      <c r="C80" s="13">
        <v>500</v>
      </c>
      <c r="D80" s="15">
        <v>12.206851442462563</v>
      </c>
      <c r="E80" s="61">
        <v>103</v>
      </c>
      <c r="F80" s="66">
        <v>164.06475195822452</v>
      </c>
      <c r="G80" s="71">
        <v>73.472999999999999</v>
      </c>
      <c r="H80" s="53">
        <f t="shared" si="5"/>
        <v>122.92500000000001</v>
      </c>
      <c r="I80" s="51">
        <v>-468.33270490625478</v>
      </c>
      <c r="J80" s="15">
        <v>-239.79335572821657</v>
      </c>
      <c r="K80" s="51">
        <v>-33.67676244549483</v>
      </c>
      <c r="L80" s="54">
        <f t="shared" si="4"/>
        <v>-278.34007112174163</v>
      </c>
      <c r="M80" s="1"/>
      <c r="N80" s="1"/>
    </row>
    <row r="81" spans="1:14" ht="18.95">
      <c r="A81" s="13" t="s">
        <v>49</v>
      </c>
      <c r="B81" s="14" t="s">
        <v>50</v>
      </c>
      <c r="C81" s="13">
        <v>0</v>
      </c>
      <c r="D81" s="15">
        <v>14.327673023826563</v>
      </c>
      <c r="E81" s="61">
        <v>52.4</v>
      </c>
      <c r="F81" s="66">
        <v>133.16057441253264</v>
      </c>
      <c r="G81" s="71">
        <v>9.3780000000000001</v>
      </c>
      <c r="H81" s="53">
        <f t="shared" si="5"/>
        <v>131.30000000000001</v>
      </c>
      <c r="I81" s="51">
        <v>-635.0470120012402</v>
      </c>
      <c r="J81" s="15">
        <v>-360.49727783747761</v>
      </c>
      <c r="K81" s="51">
        <v>-35.275504843811895</v>
      </c>
      <c r="L81" s="54">
        <f t="shared" si="4"/>
        <v>-704.58122026999695</v>
      </c>
      <c r="M81" s="1"/>
      <c r="N81" s="1"/>
    </row>
    <row r="82" spans="1:14" ht="18.95">
      <c r="A82" s="13" t="s">
        <v>49</v>
      </c>
      <c r="B82" s="14" t="s">
        <v>51</v>
      </c>
      <c r="C82" s="13">
        <v>500</v>
      </c>
      <c r="D82" s="15">
        <v>14.311856624712501</v>
      </c>
      <c r="E82" s="61">
        <v>86.5</v>
      </c>
      <c r="F82" s="66">
        <v>159.81375108790255</v>
      </c>
      <c r="G82" s="71">
        <v>7.423</v>
      </c>
      <c r="H82" s="53">
        <f t="shared" si="5"/>
        <v>125.27500000000001</v>
      </c>
      <c r="I82" s="51">
        <v>-608.04994091651565</v>
      </c>
      <c r="J82" s="15">
        <v>-295.76487869689601</v>
      </c>
      <c r="K82" s="51">
        <v>-30.879230007413003</v>
      </c>
      <c r="L82" s="54">
        <f t="shared" si="4"/>
        <v>-555.68229853292212</v>
      </c>
      <c r="M82" s="1"/>
    </row>
    <row r="83" spans="1:14" ht="20.100000000000001" thickBot="1">
      <c r="A83" s="12"/>
      <c r="B83" s="12"/>
      <c r="C83" s="12"/>
      <c r="D83" s="44"/>
      <c r="E83" s="29">
        <f>AVERAGE(E71:E82)</f>
        <v>90.416666666666671</v>
      </c>
      <c r="F83" s="29">
        <f>AVERAGE(F71:F82)</f>
        <v>110.04142732811141</v>
      </c>
      <c r="G83" s="44"/>
      <c r="H83" s="44"/>
      <c r="I83" s="44"/>
      <c r="J83" s="44"/>
      <c r="K83" s="44"/>
      <c r="L83" s="44"/>
      <c r="M83" s="1"/>
    </row>
    <row r="84" spans="1:14" ht="18">
      <c r="A84" s="8">
        <v>2020</v>
      </c>
      <c r="B84" s="9"/>
      <c r="C84" s="10"/>
      <c r="D84" s="11"/>
      <c r="E84" s="11"/>
      <c r="F84" s="11"/>
      <c r="G84" s="11"/>
      <c r="H84" s="11"/>
      <c r="I84" s="11"/>
      <c r="J84" s="11"/>
      <c r="K84" s="11"/>
      <c r="L84" s="55"/>
      <c r="M84" s="1"/>
    </row>
    <row r="85" spans="1:14" ht="18.95">
      <c r="A85" s="13" t="s">
        <v>31</v>
      </c>
      <c r="B85" s="14" t="s">
        <v>34</v>
      </c>
      <c r="C85" s="13" t="s">
        <v>20</v>
      </c>
      <c r="D85" s="15">
        <v>5.4799633379549251</v>
      </c>
      <c r="E85" s="61">
        <v>87.6</v>
      </c>
      <c r="F85" s="53">
        <f>AVERAGE(F71,F99)</f>
        <v>79.845395996518704</v>
      </c>
      <c r="G85" s="52">
        <v>140</v>
      </c>
      <c r="H85" s="53">
        <f>AVERAGE(H57,H71)</f>
        <v>10.2125</v>
      </c>
      <c r="I85" s="52">
        <v>-318.13270903245382</v>
      </c>
      <c r="J85" s="56">
        <v>-104.32460992622732</v>
      </c>
      <c r="K85" s="52">
        <v>-18</v>
      </c>
      <c r="L85" s="54">
        <f t="shared" ref="L85:L96" si="6">SUM(E85:K85)</f>
        <v>-122.79942296216247</v>
      </c>
      <c r="M85" s="1"/>
    </row>
    <row r="86" spans="1:14" ht="18.95">
      <c r="A86" s="13" t="s">
        <v>31</v>
      </c>
      <c r="B86" s="14" t="s">
        <v>35</v>
      </c>
      <c r="C86" s="13" t="s">
        <v>20</v>
      </c>
      <c r="D86" s="15">
        <v>5.1961942035049358</v>
      </c>
      <c r="E86" s="61">
        <v>97.9</v>
      </c>
      <c r="F86" s="53">
        <f t="shared" ref="F86:F96" si="7">AVERAGE(F72,F100)</f>
        <v>81.345657093124444</v>
      </c>
      <c r="G86" s="52">
        <v>140</v>
      </c>
      <c r="H86" s="53">
        <f t="shared" ref="H86:H96" si="8">AVERAGE(H58,H72)</f>
        <v>48.112499999999997</v>
      </c>
      <c r="I86" s="52">
        <v>-370.38397115705584</v>
      </c>
      <c r="J86" s="56"/>
      <c r="K86" s="52">
        <v>-18</v>
      </c>
      <c r="L86" s="54">
        <f t="shared" si="6"/>
        <v>-21.025814063931364</v>
      </c>
      <c r="M86" s="1"/>
    </row>
    <row r="87" spans="1:14" ht="18.95">
      <c r="A87" s="18" t="s">
        <v>37</v>
      </c>
      <c r="B87" s="14" t="s">
        <v>38</v>
      </c>
      <c r="C87" s="18">
        <v>0</v>
      </c>
      <c r="D87" s="15">
        <v>7.051947848179144</v>
      </c>
      <c r="E87" s="62">
        <v>86.1</v>
      </c>
      <c r="F87" s="53">
        <f t="shared" si="7"/>
        <v>81.284347258485639</v>
      </c>
      <c r="G87" s="72">
        <v>148.80000000000001</v>
      </c>
      <c r="H87" s="53">
        <f t="shared" si="8"/>
        <v>68.75</v>
      </c>
      <c r="I87" s="53">
        <v>-364.47738793374907</v>
      </c>
      <c r="J87" s="57">
        <v>-10.062539462103777</v>
      </c>
      <c r="K87" s="51">
        <v>-17.572979784298987</v>
      </c>
      <c r="L87" s="54">
        <f t="shared" si="6"/>
        <v>-7.178559921666162</v>
      </c>
      <c r="M87" s="1"/>
    </row>
    <row r="88" spans="1:14" ht="18.95">
      <c r="A88" s="18" t="s">
        <v>37</v>
      </c>
      <c r="B88" s="14" t="s">
        <v>39</v>
      </c>
      <c r="C88" s="18">
        <v>500</v>
      </c>
      <c r="D88" s="15">
        <v>6.3368243725190805</v>
      </c>
      <c r="E88" s="62">
        <v>75.7</v>
      </c>
      <c r="F88" s="53">
        <f t="shared" si="7"/>
        <v>76.309804177545686</v>
      </c>
      <c r="G88" s="72">
        <v>116.3</v>
      </c>
      <c r="H88" s="53">
        <f t="shared" si="8"/>
        <v>23.712499999999999</v>
      </c>
      <c r="I88" s="53">
        <v>-382.89880433731622</v>
      </c>
      <c r="J88" s="57">
        <v>-12.055735595951965</v>
      </c>
      <c r="K88" s="51">
        <v>-17.990277766978977</v>
      </c>
      <c r="L88" s="54">
        <f t="shared" si="6"/>
        <v>-120.92251352270151</v>
      </c>
      <c r="M88" s="1"/>
    </row>
    <row r="89" spans="1:14" ht="18.95">
      <c r="A89" s="18" t="s">
        <v>40</v>
      </c>
      <c r="B89" s="14" t="s">
        <v>41</v>
      </c>
      <c r="C89" s="18">
        <v>0</v>
      </c>
      <c r="D89" s="15">
        <v>9.1067855515877412</v>
      </c>
      <c r="E89" s="62">
        <v>175.6</v>
      </c>
      <c r="F89" s="53">
        <f t="shared" si="7"/>
        <v>78.138133159268932</v>
      </c>
      <c r="G89" s="72">
        <v>134.80000000000001</v>
      </c>
      <c r="H89" s="53">
        <f t="shared" si="8"/>
        <v>86.35</v>
      </c>
      <c r="I89" s="53">
        <v>-425.60797436243774</v>
      </c>
      <c r="J89" s="57">
        <v>-45.73916247191945</v>
      </c>
      <c r="K89" s="51">
        <v>-37.647432409016503</v>
      </c>
      <c r="L89" s="54">
        <f t="shared" si="6"/>
        <v>-34.106436084104764</v>
      </c>
      <c r="M89" s="1"/>
    </row>
    <row r="90" spans="1:14" ht="18.95">
      <c r="A90" s="18" t="s">
        <v>40</v>
      </c>
      <c r="B90" s="14" t="s">
        <v>42</v>
      </c>
      <c r="C90" s="18">
        <v>500</v>
      </c>
      <c r="D90" s="15">
        <v>9.1209379744968366</v>
      </c>
      <c r="E90" s="62">
        <v>87.5</v>
      </c>
      <c r="F90" s="53">
        <f t="shared" si="7"/>
        <v>80.490126196692785</v>
      </c>
      <c r="G90" s="72">
        <v>82.7</v>
      </c>
      <c r="H90" s="53">
        <f t="shared" si="8"/>
        <v>41.087499999999999</v>
      </c>
      <c r="I90" s="53">
        <v>-439.94608201762236</v>
      </c>
      <c r="J90" s="57">
        <v>-47.006136786484987</v>
      </c>
      <c r="K90" s="51">
        <v>-19.913044746890129</v>
      </c>
      <c r="L90" s="54">
        <f t="shared" si="6"/>
        <v>-215.08763735430472</v>
      </c>
      <c r="M90" s="1"/>
    </row>
    <row r="91" spans="1:14" ht="18.95">
      <c r="A91" s="18" t="s">
        <v>43</v>
      </c>
      <c r="B91" s="14" t="s">
        <v>44</v>
      </c>
      <c r="C91" s="18">
        <v>0</v>
      </c>
      <c r="D91" s="15">
        <v>11.637227059119049</v>
      </c>
      <c r="E91" s="62">
        <v>83.7</v>
      </c>
      <c r="F91" s="53">
        <f t="shared" si="7"/>
        <v>125.2813315926893</v>
      </c>
      <c r="G91" s="72">
        <v>62.5</v>
      </c>
      <c r="H91" s="53">
        <f t="shared" si="8"/>
        <v>86.712500000000006</v>
      </c>
      <c r="I91" s="53">
        <v>-471.95824567686736</v>
      </c>
      <c r="J91" s="57">
        <v>-136.95346213522711</v>
      </c>
      <c r="K91" s="51">
        <v>-17.832739334691688</v>
      </c>
      <c r="L91" s="54">
        <f t="shared" si="6"/>
        <v>-268.55061555409685</v>
      </c>
      <c r="M91" s="1"/>
    </row>
    <row r="92" spans="1:14" ht="18.95">
      <c r="A92" s="18" t="s">
        <v>43</v>
      </c>
      <c r="B92" s="14" t="s">
        <v>45</v>
      </c>
      <c r="C92" s="18">
        <v>500</v>
      </c>
      <c r="D92" s="15">
        <v>11.492997622844964</v>
      </c>
      <c r="E92" s="62">
        <v>52.5</v>
      </c>
      <c r="F92" s="53">
        <f t="shared" si="7"/>
        <v>168.83871627502174</v>
      </c>
      <c r="G92" s="72">
        <v>4.8</v>
      </c>
      <c r="H92" s="53">
        <f t="shared" si="8"/>
        <v>107.33749999999999</v>
      </c>
      <c r="I92" s="53">
        <v>-422.76175505563793</v>
      </c>
      <c r="J92" s="57">
        <v>-190.10884560279183</v>
      </c>
      <c r="K92" s="51">
        <v>-28.052884237128513</v>
      </c>
      <c r="L92" s="54">
        <f t="shared" si="6"/>
        <v>-307.44726862053653</v>
      </c>
      <c r="M92" s="1"/>
    </row>
    <row r="93" spans="1:14" ht="18.95">
      <c r="A93" s="18" t="s">
        <v>46</v>
      </c>
      <c r="B93" s="14" t="s">
        <v>47</v>
      </c>
      <c r="C93" s="18">
        <v>0</v>
      </c>
      <c r="D93" s="15">
        <v>13.865411286866646</v>
      </c>
      <c r="E93" s="62">
        <v>141.9</v>
      </c>
      <c r="F93" s="53">
        <f t="shared" si="7"/>
        <v>90.215513489991309</v>
      </c>
      <c r="G93" s="72">
        <v>9.6999999999999993</v>
      </c>
      <c r="H93" s="53">
        <f t="shared" si="8"/>
        <v>86.5</v>
      </c>
      <c r="I93" s="53">
        <v>-461.69054259482368</v>
      </c>
      <c r="J93" s="57">
        <v>-254.01816300916906</v>
      </c>
      <c r="K93" s="51">
        <v>-27.707829704318627</v>
      </c>
      <c r="L93" s="54">
        <f t="shared" si="6"/>
        <v>-415.10102181832002</v>
      </c>
      <c r="M93" s="1"/>
    </row>
    <row r="94" spans="1:14" ht="18.95">
      <c r="A94" s="18" t="s">
        <v>46</v>
      </c>
      <c r="B94" s="14" t="s">
        <v>48</v>
      </c>
      <c r="C94" s="18">
        <v>500</v>
      </c>
      <c r="D94" s="15">
        <v>13.6650375069372</v>
      </c>
      <c r="E94" s="62">
        <v>86.8</v>
      </c>
      <c r="F94" s="53">
        <f t="shared" si="7"/>
        <v>158.28237597911226</v>
      </c>
      <c r="G94" s="72">
        <v>50.3</v>
      </c>
      <c r="H94" s="53">
        <f t="shared" si="8"/>
        <v>108.98750000000001</v>
      </c>
      <c r="I94" s="53">
        <v>-522.54666639520781</v>
      </c>
      <c r="J94" s="57">
        <v>-308.58879552881979</v>
      </c>
      <c r="K94" s="51">
        <v>-23.870208216501499</v>
      </c>
      <c r="L94" s="54">
        <f t="shared" si="6"/>
        <v>-450.63579416141681</v>
      </c>
      <c r="M94" s="1"/>
    </row>
    <row r="95" spans="1:14" ht="18.95">
      <c r="A95" s="18" t="s">
        <v>49</v>
      </c>
      <c r="B95" s="14" t="s">
        <v>50</v>
      </c>
      <c r="C95" s="18">
        <v>0</v>
      </c>
      <c r="D95" s="15">
        <v>15.789778209337264</v>
      </c>
      <c r="E95" s="62">
        <v>67.400000000000006</v>
      </c>
      <c r="F95" s="53">
        <f t="shared" si="7"/>
        <v>163.1952872062663</v>
      </c>
      <c r="G95" s="72">
        <v>1.8</v>
      </c>
      <c r="H95" s="53">
        <f t="shared" si="8"/>
        <v>115.15</v>
      </c>
      <c r="I95" s="53">
        <v>-697.63864667245036</v>
      </c>
      <c r="J95" s="57">
        <v>-574.32205958750319</v>
      </c>
      <c r="K95" s="51">
        <v>-17.944360919237472</v>
      </c>
      <c r="L95" s="54">
        <f t="shared" si="6"/>
        <v>-942.35977997292468</v>
      </c>
      <c r="M95" s="1"/>
    </row>
    <row r="96" spans="1:14" ht="18.95">
      <c r="A96" s="18" t="s">
        <v>49</v>
      </c>
      <c r="B96" s="14" t="s">
        <v>51</v>
      </c>
      <c r="C96" s="18">
        <v>500</v>
      </c>
      <c r="D96" s="15">
        <v>15.852109103625477</v>
      </c>
      <c r="E96" s="62">
        <v>143.9</v>
      </c>
      <c r="F96" s="53">
        <f t="shared" si="7"/>
        <v>184.81687554395126</v>
      </c>
      <c r="G96" s="72">
        <v>4.9000000000000004</v>
      </c>
      <c r="H96" s="53">
        <f t="shared" si="8"/>
        <v>120.7625</v>
      </c>
      <c r="I96" s="53">
        <v>-656.04106195638963</v>
      </c>
      <c r="J96" s="57">
        <v>-460.61617331894132</v>
      </c>
      <c r="K96" s="51">
        <v>-14.057275796407426</v>
      </c>
      <c r="L96" s="54">
        <f t="shared" si="6"/>
        <v>-676.3351355277872</v>
      </c>
      <c r="M96" s="1"/>
    </row>
    <row r="97" spans="1:13" ht="20.100000000000001" thickBot="1">
      <c r="A97" s="12"/>
      <c r="B97" s="12"/>
      <c r="C97" s="12"/>
      <c r="D97" s="44"/>
      <c r="E97" s="29">
        <f>AVERAGE(E85:E96)</f>
        <v>98.88333333333334</v>
      </c>
      <c r="F97" s="29">
        <f>AVERAGE(F85:F96)</f>
        <v>114.00363033072237</v>
      </c>
      <c r="G97" s="44"/>
      <c r="H97" s="44"/>
      <c r="I97" s="44"/>
      <c r="J97" s="44"/>
      <c r="K97" s="44"/>
      <c r="L97" s="44"/>
      <c r="M97" s="1"/>
    </row>
    <row r="98" spans="1:13" ht="18">
      <c r="A98" s="8">
        <v>2021</v>
      </c>
      <c r="B98" s="9"/>
      <c r="C98" s="10"/>
      <c r="D98" s="11"/>
      <c r="E98" s="11"/>
      <c r="F98" s="11"/>
      <c r="G98" s="11"/>
      <c r="H98" s="11"/>
      <c r="I98" s="11"/>
      <c r="J98" s="11"/>
      <c r="K98" s="11"/>
      <c r="L98" s="55"/>
      <c r="M98" s="1"/>
    </row>
    <row r="99" spans="1:13" ht="18.95">
      <c r="A99" s="13" t="s">
        <v>31</v>
      </c>
      <c r="B99" s="14" t="s">
        <v>34</v>
      </c>
      <c r="C99" s="13" t="s">
        <v>20</v>
      </c>
      <c r="D99" s="15">
        <v>6</v>
      </c>
      <c r="E99" s="61">
        <v>89.58</v>
      </c>
      <c r="F99" s="67">
        <v>74.78</v>
      </c>
      <c r="G99" s="52">
        <v>140</v>
      </c>
      <c r="H99" s="53">
        <f>AVERAGE(H71,H85)</f>
        <v>10.293749999999999</v>
      </c>
      <c r="I99" s="51">
        <v>-318.17962501701265</v>
      </c>
      <c r="J99" s="15">
        <v>-8.9971900723817484</v>
      </c>
      <c r="K99" s="52">
        <v>-15</v>
      </c>
      <c r="L99" s="54">
        <f t="shared" ref="L99:L110" si="9">SUM(E99:K99)</f>
        <v>-27.5230650893944</v>
      </c>
      <c r="M99" s="1"/>
    </row>
    <row r="100" spans="1:13" ht="18.95">
      <c r="A100" s="13" t="s">
        <v>31</v>
      </c>
      <c r="B100" s="14" t="s">
        <v>35</v>
      </c>
      <c r="C100" s="13" t="s">
        <v>20</v>
      </c>
      <c r="D100" s="15">
        <v>6.4</v>
      </c>
      <c r="E100" s="61">
        <v>118.78</v>
      </c>
      <c r="F100" s="67">
        <v>54.18</v>
      </c>
      <c r="G100" s="52">
        <v>140</v>
      </c>
      <c r="H100" s="53">
        <f t="shared" ref="H100:H110" si="10">AVERAGE(H72,H86)</f>
        <v>48.793750000000003</v>
      </c>
      <c r="I100" s="51">
        <v>-345.50675767130105</v>
      </c>
      <c r="J100" s="15">
        <v>-32.778719982791941</v>
      </c>
      <c r="K100" s="52">
        <v>-15</v>
      </c>
      <c r="L100" s="54">
        <f t="shared" si="9"/>
        <v>-31.531727654092961</v>
      </c>
      <c r="M100" s="1"/>
    </row>
    <row r="101" spans="1:13" ht="18.95">
      <c r="A101" s="18" t="s">
        <v>37</v>
      </c>
      <c r="B101" s="14" t="s">
        <v>38</v>
      </c>
      <c r="C101" s="18">
        <v>0</v>
      </c>
      <c r="D101" s="15">
        <v>7.7</v>
      </c>
      <c r="E101" s="62">
        <v>68.05</v>
      </c>
      <c r="F101" s="67">
        <v>118.07</v>
      </c>
      <c r="G101" s="72">
        <v>85.7</v>
      </c>
      <c r="H101" s="53">
        <f t="shared" si="10"/>
        <v>69.275000000000006</v>
      </c>
      <c r="I101" s="51">
        <v>-394.96811880161215</v>
      </c>
      <c r="J101" s="15">
        <v>-7.7009598458002468</v>
      </c>
      <c r="K101" s="51">
        <v>-7.8383528364056945</v>
      </c>
      <c r="L101" s="54">
        <f t="shared" si="9"/>
        <v>-69.412431483818068</v>
      </c>
      <c r="M101" s="1"/>
    </row>
    <row r="102" spans="1:13" ht="18.95">
      <c r="A102" s="18" t="s">
        <v>37</v>
      </c>
      <c r="B102" s="14" t="s">
        <v>39</v>
      </c>
      <c r="C102" s="18">
        <v>500</v>
      </c>
      <c r="D102" s="15">
        <v>7.8</v>
      </c>
      <c r="E102" s="62">
        <v>76.7</v>
      </c>
      <c r="F102" s="67">
        <v>78.569999999999993</v>
      </c>
      <c r="G102" s="72">
        <v>71.8</v>
      </c>
      <c r="H102" s="53">
        <f t="shared" si="10"/>
        <v>22.693750000000001</v>
      </c>
      <c r="I102" s="51">
        <v>-385.70068322321725</v>
      </c>
      <c r="J102" s="15">
        <v>-8.346083773503354</v>
      </c>
      <c r="K102" s="51">
        <v>-14.728175754155782</v>
      </c>
      <c r="L102" s="54">
        <f t="shared" si="9"/>
        <v>-159.0111927508764</v>
      </c>
      <c r="M102" s="1"/>
    </row>
    <row r="103" spans="1:13" ht="18.95">
      <c r="A103" s="18" t="s">
        <v>40</v>
      </c>
      <c r="B103" s="14" t="s">
        <v>41</v>
      </c>
      <c r="C103" s="18">
        <v>0</v>
      </c>
      <c r="D103" s="15">
        <v>10</v>
      </c>
      <c r="E103" s="62">
        <v>178.1</v>
      </c>
      <c r="F103" s="67">
        <v>52.37</v>
      </c>
      <c r="G103" s="72">
        <v>114.8</v>
      </c>
      <c r="H103" s="53">
        <f t="shared" si="10"/>
        <v>84.224999999999994</v>
      </c>
      <c r="I103" s="51">
        <v>-438.6478311432968</v>
      </c>
      <c r="J103" s="51">
        <v>-26.59</v>
      </c>
      <c r="K103" s="51">
        <v>-24.95154426219457</v>
      </c>
      <c r="L103" s="54">
        <f t="shared" si="9"/>
        <v>-60.694375405491371</v>
      </c>
      <c r="M103" s="1"/>
    </row>
    <row r="104" spans="1:13" ht="18.95">
      <c r="A104" s="18" t="s">
        <v>40</v>
      </c>
      <c r="B104" s="14" t="s">
        <v>42</v>
      </c>
      <c r="C104" s="18">
        <v>500</v>
      </c>
      <c r="D104" s="15">
        <v>9.9</v>
      </c>
      <c r="E104" s="62">
        <v>92.7</v>
      </c>
      <c r="F104" s="67">
        <v>81.19</v>
      </c>
      <c r="G104" s="72">
        <v>43.9</v>
      </c>
      <c r="H104" s="53">
        <f t="shared" si="10"/>
        <v>42.356250000000003</v>
      </c>
      <c r="I104" s="51">
        <v>-476.10576299834361</v>
      </c>
      <c r="J104" s="51">
        <v>-18.68</v>
      </c>
      <c r="K104" s="51">
        <v>-6.873584023976985</v>
      </c>
      <c r="L104" s="54">
        <f t="shared" si="9"/>
        <v>-241.51309702232058</v>
      </c>
      <c r="M104" s="1"/>
    </row>
    <row r="105" spans="1:13" ht="18.95">
      <c r="A105" s="18" t="s">
        <v>43</v>
      </c>
      <c r="B105" s="14" t="s">
        <v>44</v>
      </c>
      <c r="C105" s="18">
        <v>0</v>
      </c>
      <c r="D105" s="15">
        <v>12.2</v>
      </c>
      <c r="E105" s="62">
        <v>79.2</v>
      </c>
      <c r="F105" s="67">
        <v>120</v>
      </c>
      <c r="G105" s="72">
        <v>64.3</v>
      </c>
      <c r="H105" s="53">
        <f t="shared" si="10"/>
        <v>86.543750000000003</v>
      </c>
      <c r="I105" s="51">
        <v>-503.28239517798511</v>
      </c>
      <c r="J105" s="51">
        <v>-44.42</v>
      </c>
      <c r="K105" s="51">
        <v>-5.4072805292438453</v>
      </c>
      <c r="L105" s="54">
        <f t="shared" si="9"/>
        <v>-203.06592570722898</v>
      </c>
      <c r="M105" s="1"/>
    </row>
    <row r="106" spans="1:13" ht="18.95">
      <c r="A106" s="18" t="s">
        <v>43</v>
      </c>
      <c r="B106" s="14" t="s">
        <v>45</v>
      </c>
      <c r="C106" s="18">
        <v>500</v>
      </c>
      <c r="D106" s="15">
        <v>12.1</v>
      </c>
      <c r="E106" s="62">
        <v>85.4</v>
      </c>
      <c r="F106" s="67">
        <v>172.63</v>
      </c>
      <c r="G106" s="72">
        <v>9.6</v>
      </c>
      <c r="H106" s="53">
        <f t="shared" si="10"/>
        <v>107.58124999999998</v>
      </c>
      <c r="I106" s="51">
        <v>-453.75569972332073</v>
      </c>
      <c r="J106" s="51">
        <v>-54.28</v>
      </c>
      <c r="K106" s="51">
        <v>-13.923318275129223</v>
      </c>
      <c r="L106" s="54">
        <f t="shared" si="9"/>
        <v>-146.74776799845</v>
      </c>
      <c r="M106" s="1"/>
    </row>
    <row r="107" spans="1:13" ht="18.95">
      <c r="A107" s="18" t="s">
        <v>46</v>
      </c>
      <c r="B107" s="14" t="s">
        <v>47</v>
      </c>
      <c r="C107" s="18">
        <v>0</v>
      </c>
      <c r="D107" s="15">
        <v>14.5</v>
      </c>
      <c r="E107" s="62">
        <v>125.4</v>
      </c>
      <c r="F107" s="67">
        <v>108.25</v>
      </c>
      <c r="G107" s="72">
        <v>15.3</v>
      </c>
      <c r="H107" s="53">
        <f t="shared" si="10"/>
        <v>84.6</v>
      </c>
      <c r="I107" s="51">
        <v>-504.83075717650723</v>
      </c>
      <c r="J107" s="15">
        <v>-69.588844864090845</v>
      </c>
      <c r="K107" s="51">
        <v>-12.136972482037732</v>
      </c>
      <c r="L107" s="54">
        <f t="shared" si="9"/>
        <v>-253.00657452263579</v>
      </c>
      <c r="M107" s="1"/>
    </row>
    <row r="108" spans="1:13" ht="18.95">
      <c r="A108" s="18" t="s">
        <v>46</v>
      </c>
      <c r="B108" s="14" t="s">
        <v>48</v>
      </c>
      <c r="C108" s="18">
        <v>500</v>
      </c>
      <c r="D108" s="15">
        <v>14.4</v>
      </c>
      <c r="E108" s="62">
        <v>104.9</v>
      </c>
      <c r="F108" s="67">
        <v>152.5</v>
      </c>
      <c r="G108" s="72">
        <v>28.2</v>
      </c>
      <c r="H108" s="53">
        <f t="shared" si="10"/>
        <v>115.95625000000001</v>
      </c>
      <c r="I108" s="51">
        <v>-525.33361457672277</v>
      </c>
      <c r="J108" s="15">
        <v>-106.95002864395885</v>
      </c>
      <c r="K108" s="51">
        <v>-6.7855241249914124</v>
      </c>
      <c r="L108" s="54">
        <f t="shared" si="9"/>
        <v>-237.51291734567303</v>
      </c>
      <c r="M108" s="1"/>
    </row>
    <row r="109" spans="1:13" ht="18.95">
      <c r="A109" s="18" t="s">
        <v>49</v>
      </c>
      <c r="B109" s="14" t="s">
        <v>50</v>
      </c>
      <c r="C109" s="18">
        <v>0</v>
      </c>
      <c r="D109" s="15">
        <v>16.399999999999999</v>
      </c>
      <c r="E109" s="62">
        <v>66</v>
      </c>
      <c r="F109" s="67">
        <v>193.23</v>
      </c>
      <c r="G109" s="72">
        <v>0</v>
      </c>
      <c r="H109" s="53">
        <f t="shared" si="10"/>
        <v>123.22500000000001</v>
      </c>
      <c r="I109" s="51">
        <v>-735.2039068005862</v>
      </c>
      <c r="J109" s="51">
        <v>-110.09</v>
      </c>
      <c r="K109" s="51">
        <v>-4.2184177821804889</v>
      </c>
      <c r="L109" s="54">
        <f t="shared" si="9"/>
        <v>-467.05732458276668</v>
      </c>
      <c r="M109" s="1"/>
    </row>
    <row r="110" spans="1:13" ht="18.95">
      <c r="A110" s="18" t="s">
        <v>49</v>
      </c>
      <c r="B110" s="14" t="s">
        <v>51</v>
      </c>
      <c r="C110" s="18">
        <v>500</v>
      </c>
      <c r="D110" s="15">
        <v>16.399999999999999</v>
      </c>
      <c r="E110" s="62">
        <v>121.8</v>
      </c>
      <c r="F110" s="67">
        <v>209.82</v>
      </c>
      <c r="G110" s="72">
        <v>7.7</v>
      </c>
      <c r="H110" s="53">
        <f t="shared" si="10"/>
        <v>123.01875000000001</v>
      </c>
      <c r="I110" s="51">
        <v>-685.18119612366218</v>
      </c>
      <c r="J110" s="51">
        <v>-75.569999999999993</v>
      </c>
      <c r="K110" s="51">
        <v>-12.619618790780219</v>
      </c>
      <c r="L110" s="54">
        <f t="shared" si="9"/>
        <v>-311.0320649144424</v>
      </c>
      <c r="M110" s="1"/>
    </row>
    <row r="111" spans="1:13" ht="20.100000000000001" thickBot="1">
      <c r="A111" s="12"/>
      <c r="B111" s="12"/>
      <c r="C111" s="12"/>
      <c r="D111" s="12"/>
      <c r="E111" s="29">
        <f>AVERAGE(E99:E110)</f>
        <v>100.55083333333333</v>
      </c>
      <c r="F111" s="29">
        <f>AVERAGE(F99:F110)</f>
        <v>117.96583333333332</v>
      </c>
      <c r="G111" s="12"/>
      <c r="H111" s="12"/>
      <c r="I111" s="12"/>
      <c r="J111" s="12"/>
      <c r="K111" s="12"/>
      <c r="L111" s="12"/>
      <c r="M111" s="1"/>
    </row>
    <row r="112" spans="1:13" ht="18.95">
      <c r="A112" s="8">
        <v>2022</v>
      </c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"/>
    </row>
    <row r="113" spans="1:14" ht="18.95">
      <c r="A113" s="13" t="s">
        <v>31</v>
      </c>
      <c r="B113" s="14" t="s">
        <v>34</v>
      </c>
      <c r="C113" s="13" t="s">
        <v>20</v>
      </c>
      <c r="D113" s="15">
        <v>3.7</v>
      </c>
      <c r="E113" s="63">
        <v>68.5</v>
      </c>
      <c r="F113" s="17">
        <v>74.78</v>
      </c>
      <c r="G113" s="73"/>
      <c r="H113" s="16"/>
      <c r="I113" s="16"/>
      <c r="J113" s="16"/>
      <c r="K113" s="16"/>
      <c r="L113" s="54"/>
      <c r="M113" s="1"/>
    </row>
    <row r="114" spans="1:14" ht="18.95">
      <c r="A114" s="13" t="s">
        <v>31</v>
      </c>
      <c r="B114" s="14" t="s">
        <v>35</v>
      </c>
      <c r="C114" s="13" t="s">
        <v>20</v>
      </c>
      <c r="D114" s="15">
        <v>4.2</v>
      </c>
      <c r="E114" s="63">
        <v>79.599999999999994</v>
      </c>
      <c r="F114" s="17">
        <v>54.18</v>
      </c>
      <c r="G114" s="73"/>
      <c r="H114" s="16"/>
      <c r="I114" s="16"/>
      <c r="J114" s="16"/>
      <c r="K114" s="16"/>
      <c r="L114" s="54"/>
      <c r="M114" s="1"/>
    </row>
    <row r="115" spans="1:14" ht="18.95">
      <c r="A115" s="18" t="s">
        <v>37</v>
      </c>
      <c r="B115" s="14" t="s">
        <v>38</v>
      </c>
      <c r="C115" s="18">
        <v>0</v>
      </c>
      <c r="D115" s="15">
        <v>5.4</v>
      </c>
      <c r="E115" s="63">
        <v>67.3</v>
      </c>
      <c r="F115" s="17">
        <v>118.07</v>
      </c>
      <c r="G115" s="73"/>
      <c r="H115" s="16"/>
      <c r="I115" s="16"/>
      <c r="J115" s="16"/>
      <c r="K115" s="16"/>
      <c r="L115" s="54"/>
      <c r="M115" s="1"/>
    </row>
    <row r="116" spans="1:14" ht="18.95">
      <c r="A116" s="18" t="s">
        <v>37</v>
      </c>
      <c r="B116" s="14" t="s">
        <v>39</v>
      </c>
      <c r="C116" s="18">
        <v>500</v>
      </c>
      <c r="D116" s="15">
        <v>5.4</v>
      </c>
      <c r="E116" s="63">
        <v>63.3</v>
      </c>
      <c r="F116" s="17">
        <v>78.569999999999993</v>
      </c>
      <c r="G116" s="73"/>
      <c r="H116" s="16"/>
      <c r="I116" s="16"/>
      <c r="J116" s="16"/>
      <c r="K116" s="16"/>
      <c r="L116" s="54"/>
      <c r="M116" s="1"/>
      <c r="N116" s="1"/>
    </row>
    <row r="117" spans="1:14" ht="18.95">
      <c r="A117" s="18" t="s">
        <v>40</v>
      </c>
      <c r="B117" s="14" t="s">
        <v>41</v>
      </c>
      <c r="C117" s="18">
        <v>0</v>
      </c>
      <c r="D117" s="15">
        <v>7.3</v>
      </c>
      <c r="E117" s="63">
        <v>111</v>
      </c>
      <c r="F117" s="17">
        <v>52.37</v>
      </c>
      <c r="G117" s="73"/>
      <c r="H117" s="16"/>
      <c r="I117" s="16"/>
      <c r="J117" s="16"/>
      <c r="K117" s="16"/>
      <c r="L117" s="54"/>
      <c r="M117" s="1"/>
      <c r="N117" s="1"/>
    </row>
    <row r="118" spans="1:14" ht="18.95">
      <c r="A118" s="18" t="s">
        <v>40</v>
      </c>
      <c r="B118" s="14" t="s">
        <v>42</v>
      </c>
      <c r="C118" s="18">
        <v>500</v>
      </c>
      <c r="D118" s="15">
        <v>7.6</v>
      </c>
      <c r="E118" s="63">
        <v>66.8</v>
      </c>
      <c r="F118" s="17">
        <v>81.19</v>
      </c>
      <c r="G118" s="73"/>
      <c r="H118" s="16"/>
      <c r="I118" s="16"/>
      <c r="J118" s="16"/>
      <c r="K118" s="16"/>
      <c r="L118" s="54"/>
      <c r="M118" s="1"/>
      <c r="N118" s="1"/>
    </row>
    <row r="119" spans="1:14" ht="18.95">
      <c r="A119" s="18" t="s">
        <v>43</v>
      </c>
      <c r="B119" s="14" t="s">
        <v>44</v>
      </c>
      <c r="C119" s="18">
        <v>0</v>
      </c>
      <c r="D119" s="15">
        <v>9.6999999999999993</v>
      </c>
      <c r="E119" s="63">
        <v>88.5</v>
      </c>
      <c r="F119" s="17">
        <v>120</v>
      </c>
      <c r="G119" s="73"/>
      <c r="H119" s="16"/>
      <c r="I119" s="16"/>
      <c r="J119" s="16"/>
      <c r="K119" s="16"/>
      <c r="L119" s="54"/>
      <c r="M119" s="1"/>
      <c r="N119" s="1"/>
    </row>
    <row r="120" spans="1:14" ht="18.95">
      <c r="A120" s="18" t="s">
        <v>43</v>
      </c>
      <c r="B120" s="14" t="s">
        <v>45</v>
      </c>
      <c r="C120" s="18">
        <v>500</v>
      </c>
      <c r="D120" s="15">
        <v>10</v>
      </c>
      <c r="E120" s="63">
        <v>84.7</v>
      </c>
      <c r="F120" s="17">
        <v>172.63</v>
      </c>
      <c r="G120" s="73"/>
      <c r="H120" s="16"/>
      <c r="I120" s="16"/>
      <c r="J120" s="16"/>
      <c r="K120" s="16"/>
      <c r="L120" s="54"/>
      <c r="M120" s="1"/>
      <c r="N120" s="1"/>
    </row>
    <row r="121" spans="1:14" ht="18.95">
      <c r="A121" s="18" t="s">
        <v>46</v>
      </c>
      <c r="B121" s="14" t="s">
        <v>47</v>
      </c>
      <c r="C121" s="18">
        <v>0</v>
      </c>
      <c r="D121" s="15">
        <v>12.2</v>
      </c>
      <c r="E121" s="63">
        <v>97.6</v>
      </c>
      <c r="F121" s="17">
        <v>108.25</v>
      </c>
      <c r="G121" s="73"/>
      <c r="H121" s="16"/>
      <c r="I121" s="16"/>
      <c r="J121" s="16"/>
      <c r="K121" s="16"/>
      <c r="L121" s="54"/>
      <c r="M121" s="1"/>
      <c r="N121" s="1"/>
    </row>
    <row r="122" spans="1:14" ht="18.95">
      <c r="A122" s="18" t="s">
        <v>46</v>
      </c>
      <c r="B122" s="14" t="s">
        <v>48</v>
      </c>
      <c r="C122" s="18">
        <v>500</v>
      </c>
      <c r="D122" s="15">
        <v>11.7</v>
      </c>
      <c r="E122" s="63">
        <v>90.6</v>
      </c>
      <c r="F122" s="17">
        <v>152.5</v>
      </c>
      <c r="G122" s="73"/>
      <c r="H122" s="16"/>
      <c r="I122" s="16"/>
      <c r="J122" s="16"/>
      <c r="K122" s="16"/>
      <c r="L122" s="54"/>
    </row>
    <row r="123" spans="1:14" ht="18.95">
      <c r="A123" s="18" t="s">
        <v>49</v>
      </c>
      <c r="B123" s="14" t="s">
        <v>50</v>
      </c>
      <c r="C123" s="18">
        <v>0</v>
      </c>
      <c r="D123" s="15">
        <v>14.3</v>
      </c>
      <c r="E123" s="63">
        <v>75.8</v>
      </c>
      <c r="F123" s="17">
        <v>193.23</v>
      </c>
      <c r="G123" s="73"/>
      <c r="H123" s="16"/>
      <c r="I123" s="16"/>
      <c r="J123" s="16"/>
      <c r="K123" s="16"/>
      <c r="L123" s="54"/>
    </row>
    <row r="124" spans="1:14" ht="18.95">
      <c r="A124" s="18" t="s">
        <v>49</v>
      </c>
      <c r="B124" s="14" t="s">
        <v>51</v>
      </c>
      <c r="C124" s="18">
        <v>500</v>
      </c>
      <c r="D124" s="15">
        <v>13.6</v>
      </c>
      <c r="E124" s="63">
        <v>120.8</v>
      </c>
      <c r="F124" s="17">
        <v>209.82</v>
      </c>
      <c r="G124" s="73"/>
      <c r="H124" s="16"/>
      <c r="I124" s="16"/>
      <c r="J124" s="16"/>
      <c r="K124" s="16"/>
      <c r="L124" s="54"/>
    </row>
    <row r="125" spans="1:14" ht="18.95" thickBot="1">
      <c r="E125" s="29">
        <f>AVERAGE(E113:E124)</f>
        <v>84.541666666666671</v>
      </c>
      <c r="F125" s="29">
        <f>AVERAGE(F113:F124)</f>
        <v>117.96583333333332</v>
      </c>
    </row>
    <row r="126" spans="1:14" ht="18.95">
      <c r="A126" s="8">
        <v>2023</v>
      </c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</row>
    <row r="127" spans="1:14" ht="18.95">
      <c r="A127" s="13" t="s">
        <v>31</v>
      </c>
      <c r="B127" s="14" t="s">
        <v>34</v>
      </c>
      <c r="C127" s="13" t="s">
        <v>20</v>
      </c>
      <c r="D127" s="15">
        <v>6.6</v>
      </c>
      <c r="E127" s="63">
        <v>111.2</v>
      </c>
      <c r="F127" s="68">
        <v>74.599999999999994</v>
      </c>
      <c r="G127" s="73"/>
      <c r="H127" s="16"/>
      <c r="I127" s="16"/>
      <c r="J127" s="16"/>
      <c r="K127" s="16"/>
      <c r="L127" s="54"/>
    </row>
    <row r="128" spans="1:14" ht="18.95">
      <c r="A128" s="13" t="s">
        <v>31</v>
      </c>
      <c r="B128" s="14" t="s">
        <v>35</v>
      </c>
      <c r="C128" s="13" t="s">
        <v>20</v>
      </c>
      <c r="D128" s="15">
        <v>6.45</v>
      </c>
      <c r="E128" s="63">
        <v>115.4</v>
      </c>
      <c r="F128" s="69">
        <v>105.2</v>
      </c>
      <c r="G128" s="73"/>
      <c r="H128" s="16"/>
      <c r="I128" s="16"/>
      <c r="J128" s="16"/>
      <c r="K128" s="16"/>
      <c r="L128" s="54"/>
    </row>
    <row r="129" spans="1:12" ht="18.95">
      <c r="A129" s="18" t="s">
        <v>37</v>
      </c>
      <c r="B129" s="14" t="s">
        <v>38</v>
      </c>
      <c r="C129" s="18">
        <v>0</v>
      </c>
      <c r="D129" s="15">
        <v>8.1</v>
      </c>
      <c r="E129" s="63">
        <v>76.400000000000006</v>
      </c>
      <c r="F129" s="69">
        <v>82.7</v>
      </c>
      <c r="G129" s="73"/>
      <c r="H129" s="16"/>
      <c r="I129" s="16"/>
      <c r="J129" s="16"/>
      <c r="K129" s="16"/>
      <c r="L129" s="54"/>
    </row>
    <row r="130" spans="1:12" ht="18.95">
      <c r="A130" s="18" t="s">
        <v>37</v>
      </c>
      <c r="B130" s="14" t="s">
        <v>39</v>
      </c>
      <c r="C130" s="18">
        <v>500</v>
      </c>
      <c r="D130" s="15">
        <v>7.45</v>
      </c>
      <c r="E130" s="63">
        <v>88.8</v>
      </c>
      <c r="F130" s="69">
        <v>107.1</v>
      </c>
      <c r="G130" s="73"/>
      <c r="H130" s="16"/>
      <c r="I130" s="16"/>
      <c r="J130" s="16"/>
      <c r="K130" s="16"/>
      <c r="L130" s="54"/>
    </row>
    <row r="131" spans="1:12" ht="18.95">
      <c r="A131" s="18" t="s">
        <v>40</v>
      </c>
      <c r="B131" s="14" t="s">
        <v>41</v>
      </c>
      <c r="C131" s="18">
        <v>0</v>
      </c>
      <c r="D131" s="15">
        <v>10.3</v>
      </c>
      <c r="E131" s="63">
        <v>149.30000000000001</v>
      </c>
      <c r="F131" s="69">
        <v>47</v>
      </c>
      <c r="G131" s="73"/>
      <c r="H131" s="16"/>
      <c r="I131" s="16"/>
      <c r="J131" s="16"/>
      <c r="K131" s="16"/>
      <c r="L131" s="54"/>
    </row>
    <row r="132" spans="1:12" ht="18.95">
      <c r="A132" s="18" t="s">
        <v>40</v>
      </c>
      <c r="B132" s="14" t="s">
        <v>42</v>
      </c>
      <c r="C132" s="18">
        <v>500</v>
      </c>
      <c r="D132" s="15">
        <v>10.050000000000001</v>
      </c>
      <c r="E132" s="63">
        <v>104.4</v>
      </c>
      <c r="F132" s="69">
        <v>99.2</v>
      </c>
      <c r="G132" s="73"/>
      <c r="H132" s="16"/>
      <c r="I132" s="16"/>
      <c r="J132" s="16"/>
      <c r="K132" s="16"/>
      <c r="L132" s="54"/>
    </row>
    <row r="133" spans="1:12" ht="18.95">
      <c r="A133" s="18" t="s">
        <v>43</v>
      </c>
      <c r="B133" s="14" t="s">
        <v>44</v>
      </c>
      <c r="C133" s="18">
        <v>0</v>
      </c>
      <c r="D133" s="15">
        <v>12.6</v>
      </c>
      <c r="E133" s="63">
        <v>119</v>
      </c>
      <c r="F133" s="69">
        <v>65.099999999999994</v>
      </c>
      <c r="G133" s="73"/>
      <c r="H133" s="16"/>
      <c r="I133" s="16"/>
      <c r="J133" s="16"/>
      <c r="K133" s="16"/>
      <c r="L133" s="54"/>
    </row>
    <row r="134" spans="1:12" ht="18.95">
      <c r="A134" s="18" t="s">
        <v>43</v>
      </c>
      <c r="B134" s="14" t="s">
        <v>45</v>
      </c>
      <c r="C134" s="18">
        <v>500</v>
      </c>
      <c r="D134" s="15">
        <v>12.5</v>
      </c>
      <c r="E134" s="63">
        <v>103.8</v>
      </c>
      <c r="F134" s="69">
        <v>123.1</v>
      </c>
      <c r="G134" s="73"/>
      <c r="H134" s="16"/>
      <c r="I134" s="16"/>
      <c r="J134" s="16"/>
      <c r="K134" s="16"/>
      <c r="L134" s="54"/>
    </row>
    <row r="135" spans="1:12" ht="18.95">
      <c r="A135" s="18" t="s">
        <v>46</v>
      </c>
      <c r="B135" s="14" t="s">
        <v>47</v>
      </c>
      <c r="C135" s="18">
        <v>0</v>
      </c>
      <c r="D135" s="15">
        <v>14.75</v>
      </c>
      <c r="E135" s="63">
        <v>173.7</v>
      </c>
      <c r="F135" s="69">
        <v>107.4</v>
      </c>
      <c r="G135" s="73"/>
      <c r="H135" s="16"/>
      <c r="I135" s="16"/>
      <c r="J135" s="16"/>
      <c r="K135" s="16"/>
      <c r="L135" s="54"/>
    </row>
    <row r="136" spans="1:12" ht="18.95">
      <c r="A136" s="18" t="s">
        <v>46</v>
      </c>
      <c r="B136" s="14" t="s">
        <v>48</v>
      </c>
      <c r="C136" s="18">
        <v>500</v>
      </c>
      <c r="D136" s="15">
        <v>14.65</v>
      </c>
      <c r="E136" s="63">
        <v>143.4</v>
      </c>
      <c r="F136" s="69">
        <v>107.8</v>
      </c>
      <c r="G136" s="73"/>
      <c r="H136" s="16"/>
      <c r="I136" s="16"/>
      <c r="J136" s="16"/>
      <c r="K136" s="16"/>
      <c r="L136" s="54"/>
    </row>
    <row r="137" spans="1:12" ht="18.95">
      <c r="A137" s="18" t="s">
        <v>49</v>
      </c>
      <c r="B137" s="14" t="s">
        <v>50</v>
      </c>
      <c r="C137" s="18">
        <v>0</v>
      </c>
      <c r="D137" s="15">
        <v>16.8</v>
      </c>
      <c r="E137" s="63">
        <v>132.5</v>
      </c>
      <c r="F137" s="69">
        <v>148.1</v>
      </c>
      <c r="G137" s="73"/>
      <c r="H137" s="16"/>
      <c r="I137" s="16"/>
      <c r="J137" s="16"/>
      <c r="K137" s="16"/>
      <c r="L137" s="54"/>
    </row>
    <row r="138" spans="1:12" ht="18.95">
      <c r="A138" s="18" t="s">
        <v>49</v>
      </c>
      <c r="B138" s="14" t="s">
        <v>51</v>
      </c>
      <c r="C138" s="18">
        <v>500</v>
      </c>
      <c r="D138" s="15">
        <v>16.850000000000001</v>
      </c>
      <c r="E138" s="63">
        <v>131.19999999999999</v>
      </c>
      <c r="F138" s="69">
        <v>104.8</v>
      </c>
      <c r="G138" s="73"/>
      <c r="H138" s="16"/>
      <c r="I138" s="16"/>
      <c r="J138" s="16"/>
      <c r="K138" s="16"/>
      <c r="L138" s="54"/>
    </row>
    <row r="139" spans="1:12" ht="18.95" thickBot="1">
      <c r="E139" s="29">
        <f>AVERAGE(E127:E138)</f>
        <v>120.75833333333334</v>
      </c>
      <c r="F139" s="29">
        <f>AVERAGE(F127:F138)</f>
        <v>97.674999999999997</v>
      </c>
    </row>
    <row r="140" spans="1:12" ht="18.95">
      <c r="A140" s="8">
        <v>2024</v>
      </c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</row>
    <row r="141" spans="1:12" ht="18.95">
      <c r="A141" s="13" t="s">
        <v>31</v>
      </c>
      <c r="B141" s="14" t="s">
        <v>34</v>
      </c>
      <c r="C141" s="13" t="s">
        <v>20</v>
      </c>
      <c r="D141" s="15"/>
      <c r="E141" s="63"/>
      <c r="F141" s="68"/>
      <c r="G141" s="73"/>
      <c r="H141" s="16"/>
      <c r="I141" s="16"/>
      <c r="J141" s="16"/>
      <c r="K141" s="16"/>
      <c r="L141" s="54"/>
    </row>
    <row r="142" spans="1:12" ht="18.95">
      <c r="A142" s="13" t="s">
        <v>31</v>
      </c>
      <c r="B142" s="14" t="s">
        <v>35</v>
      </c>
      <c r="C142" s="13" t="s">
        <v>20</v>
      </c>
      <c r="D142" s="15"/>
      <c r="E142" s="63"/>
      <c r="F142" s="69"/>
      <c r="G142" s="73"/>
      <c r="H142" s="16"/>
      <c r="I142" s="16"/>
      <c r="J142" s="16"/>
      <c r="K142" s="16"/>
      <c r="L142" s="54"/>
    </row>
    <row r="143" spans="1:12" ht="18.95">
      <c r="A143" s="18" t="s">
        <v>37</v>
      </c>
      <c r="B143" s="14" t="s">
        <v>38</v>
      </c>
      <c r="C143" s="18">
        <v>0</v>
      </c>
      <c r="D143" s="15"/>
      <c r="E143" s="63"/>
      <c r="F143" s="69"/>
      <c r="G143" s="73"/>
      <c r="H143" s="16"/>
      <c r="I143" s="16"/>
      <c r="J143" s="16"/>
      <c r="K143" s="16"/>
      <c r="L143" s="54"/>
    </row>
    <row r="144" spans="1:12" ht="18.95">
      <c r="A144" s="18" t="s">
        <v>37</v>
      </c>
      <c r="B144" s="14" t="s">
        <v>39</v>
      </c>
      <c r="C144" s="18">
        <v>500</v>
      </c>
      <c r="D144" s="15"/>
      <c r="E144" s="63"/>
      <c r="F144" s="69"/>
      <c r="G144" s="73"/>
      <c r="H144" s="16"/>
      <c r="I144" s="16"/>
      <c r="J144" s="16"/>
      <c r="K144" s="16"/>
      <c r="L144" s="54"/>
    </row>
    <row r="145" spans="1:12" ht="18.95">
      <c r="A145" s="18" t="s">
        <v>40</v>
      </c>
      <c r="B145" s="14" t="s">
        <v>41</v>
      </c>
      <c r="C145" s="18">
        <v>0</v>
      </c>
      <c r="D145" s="15"/>
      <c r="E145" s="63"/>
      <c r="F145" s="69"/>
      <c r="G145" s="73"/>
      <c r="H145" s="16"/>
      <c r="I145" s="16"/>
      <c r="J145" s="16"/>
      <c r="K145" s="16"/>
      <c r="L145" s="54"/>
    </row>
    <row r="146" spans="1:12" ht="18.95">
      <c r="A146" s="18" t="s">
        <v>40</v>
      </c>
      <c r="B146" s="14" t="s">
        <v>42</v>
      </c>
      <c r="C146" s="18">
        <v>500</v>
      </c>
      <c r="D146" s="15"/>
      <c r="E146" s="63"/>
      <c r="F146" s="69"/>
      <c r="G146" s="73"/>
      <c r="H146" s="16"/>
      <c r="I146" s="16"/>
      <c r="J146" s="16"/>
      <c r="K146" s="16"/>
      <c r="L146" s="54"/>
    </row>
    <row r="147" spans="1:12" ht="18.95">
      <c r="A147" s="18" t="s">
        <v>43</v>
      </c>
      <c r="B147" s="14" t="s">
        <v>44</v>
      </c>
      <c r="C147" s="18">
        <v>0</v>
      </c>
      <c r="D147" s="15"/>
      <c r="E147" s="63"/>
      <c r="F147" s="69"/>
      <c r="G147" s="73"/>
      <c r="H147" s="16"/>
      <c r="I147" s="16"/>
      <c r="J147" s="16"/>
      <c r="K147" s="16"/>
      <c r="L147" s="54"/>
    </row>
    <row r="148" spans="1:12" ht="18.95">
      <c r="A148" s="18" t="s">
        <v>43</v>
      </c>
      <c r="B148" s="14" t="s">
        <v>45</v>
      </c>
      <c r="C148" s="18">
        <v>500</v>
      </c>
      <c r="D148" s="15"/>
      <c r="E148" s="63"/>
      <c r="F148" s="69"/>
      <c r="G148" s="73"/>
      <c r="H148" s="16"/>
      <c r="I148" s="16"/>
      <c r="J148" s="16"/>
      <c r="K148" s="16"/>
      <c r="L148" s="54"/>
    </row>
    <row r="149" spans="1:12" ht="18.95">
      <c r="A149" s="18" t="s">
        <v>46</v>
      </c>
      <c r="B149" s="14" t="s">
        <v>47</v>
      </c>
      <c r="C149" s="18">
        <v>0</v>
      </c>
      <c r="D149" s="15"/>
      <c r="E149" s="63"/>
      <c r="F149" s="69"/>
      <c r="G149" s="73"/>
      <c r="H149" s="16"/>
      <c r="I149" s="16"/>
      <c r="J149" s="16"/>
      <c r="K149" s="16"/>
      <c r="L149" s="54"/>
    </row>
    <row r="150" spans="1:12" ht="18.95">
      <c r="A150" s="18" t="s">
        <v>46</v>
      </c>
      <c r="B150" s="14" t="s">
        <v>48</v>
      </c>
      <c r="C150" s="18">
        <v>500</v>
      </c>
      <c r="D150" s="15"/>
      <c r="E150" s="63"/>
      <c r="F150" s="69"/>
      <c r="G150" s="73"/>
      <c r="H150" s="16"/>
      <c r="I150" s="16"/>
      <c r="J150" s="16"/>
      <c r="K150" s="16"/>
      <c r="L150" s="54"/>
    </row>
    <row r="151" spans="1:12" ht="18.95">
      <c r="A151" s="18" t="s">
        <v>49</v>
      </c>
      <c r="B151" s="14" t="s">
        <v>50</v>
      </c>
      <c r="C151" s="18">
        <v>0</v>
      </c>
      <c r="D151" s="15"/>
      <c r="E151" s="63"/>
      <c r="F151" s="69"/>
      <c r="G151" s="73"/>
      <c r="H151" s="16"/>
      <c r="I151" s="16"/>
      <c r="J151" s="16"/>
      <c r="K151" s="16"/>
      <c r="L151" s="54"/>
    </row>
    <row r="152" spans="1:12" ht="18.95">
      <c r="A152" s="18" t="s">
        <v>49</v>
      </c>
      <c r="B152" s="14" t="s">
        <v>51</v>
      </c>
      <c r="C152" s="18">
        <v>500</v>
      </c>
      <c r="D152" s="15"/>
      <c r="E152" s="63"/>
      <c r="F152" s="69"/>
      <c r="G152" s="73"/>
      <c r="H152" s="16"/>
      <c r="I152" s="16"/>
      <c r="J152" s="16"/>
      <c r="K152" s="16"/>
      <c r="L152" s="54"/>
    </row>
    <row r="153" spans="1:12" ht="18.95" thickBot="1">
      <c r="E153" s="29"/>
      <c r="F153" s="29"/>
    </row>
    <row r="154" spans="1:12" ht="17.100000000000001" thickBot="1"/>
    <row r="155" spans="1:12">
      <c r="A155" s="77" t="s">
        <v>3</v>
      </c>
      <c r="B155" s="77" t="s">
        <v>4</v>
      </c>
      <c r="C155" s="77" t="s">
        <v>5</v>
      </c>
      <c r="D155" s="77" t="s">
        <v>6</v>
      </c>
      <c r="E155" s="77" t="s">
        <v>7</v>
      </c>
      <c r="F155" s="77" t="s">
        <v>8</v>
      </c>
      <c r="G155" s="77" t="s">
        <v>9</v>
      </c>
      <c r="H155" s="77" t="s">
        <v>10</v>
      </c>
      <c r="I155" s="77" t="s">
        <v>11</v>
      </c>
      <c r="J155" s="77" t="s">
        <v>12</v>
      </c>
      <c r="K155" s="77" t="s">
        <v>13</v>
      </c>
      <c r="L155" s="77" t="s">
        <v>14</v>
      </c>
    </row>
    <row r="156" spans="1:12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</row>
    <row r="157" spans="1:12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</row>
    <row r="158" spans="1:12" ht="17.100000000000001" thickBo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</row>
  </sheetData>
  <mergeCells count="25">
    <mergeCell ref="K155:K158"/>
    <mergeCell ref="L155:L158"/>
    <mergeCell ref="F155:F158"/>
    <mergeCell ref="G155:G158"/>
    <mergeCell ref="H155:H158"/>
    <mergeCell ref="I155:I158"/>
    <mergeCell ref="J155:J158"/>
    <mergeCell ref="A155:A158"/>
    <mergeCell ref="B155:B158"/>
    <mergeCell ref="C155:C158"/>
    <mergeCell ref="D155:D158"/>
    <mergeCell ref="E155:E158"/>
    <mergeCell ref="E9:L9"/>
    <mergeCell ref="G5:G8"/>
    <mergeCell ref="H5:H8"/>
    <mergeCell ref="I5:I8"/>
    <mergeCell ref="J5:J8"/>
    <mergeCell ref="K5:K8"/>
    <mergeCell ref="L5:L8"/>
    <mergeCell ref="F5:F8"/>
    <mergeCell ref="A5:A8"/>
    <mergeCell ref="B5:B8"/>
    <mergeCell ref="C5:C8"/>
    <mergeCell ref="D5:D8"/>
    <mergeCell ref="E5:E8"/>
  </mergeCells>
  <pageMargins left="0.7" right="0.7" top="0.75" bottom="0.75" header="0.3" footer="0.3"/>
  <pageSetup scale="65" fitToHeight="2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65E4-76A7-5C4B-A3A6-9EE340117465}">
  <dimension ref="C4:U14"/>
  <sheetViews>
    <sheetView topLeftCell="A4" workbookViewId="0">
      <selection activeCell="Y43" sqref="Y43"/>
    </sheetView>
  </sheetViews>
  <sheetFormatPr defaultColWidth="11" defaultRowHeight="15.95"/>
  <sheetData>
    <row r="4" spans="3:21">
      <c r="C4" s="74" t="s">
        <v>4</v>
      </c>
      <c r="D4" s="74" t="s">
        <v>52</v>
      </c>
      <c r="E4" s="74" t="s">
        <v>53</v>
      </c>
      <c r="F4" s="74" t="s">
        <v>54</v>
      </c>
      <c r="G4" s="74" t="s">
        <v>55</v>
      </c>
      <c r="H4" s="74" t="s">
        <v>56</v>
      </c>
      <c r="I4" s="74" t="s">
        <v>57</v>
      </c>
      <c r="J4" s="74" t="s">
        <v>58</v>
      </c>
      <c r="K4" s="74" t="s">
        <v>59</v>
      </c>
      <c r="L4" s="74" t="s">
        <v>60</v>
      </c>
      <c r="N4" s="74" t="s">
        <v>53</v>
      </c>
      <c r="O4" s="74" t="s">
        <v>54</v>
      </c>
      <c r="P4" s="74" t="s">
        <v>55</v>
      </c>
      <c r="Q4" s="74" t="s">
        <v>56</v>
      </c>
      <c r="R4" s="74" t="s">
        <v>57</v>
      </c>
      <c r="S4" s="74" t="s">
        <v>58</v>
      </c>
      <c r="T4" s="74" t="s">
        <v>59</v>
      </c>
      <c r="U4" s="74" t="s">
        <v>60</v>
      </c>
    </row>
    <row r="5" spans="3:21" ht="18.95">
      <c r="C5" s="14" t="s">
        <v>38</v>
      </c>
      <c r="D5" s="13">
        <v>0</v>
      </c>
      <c r="E5" s="71">
        <v>110.1</v>
      </c>
      <c r="F5" s="71">
        <v>101.8</v>
      </c>
      <c r="G5" s="71">
        <v>204.5</v>
      </c>
      <c r="H5" s="71">
        <v>198.1</v>
      </c>
      <c r="I5" s="72">
        <v>148.80000000000001</v>
      </c>
      <c r="J5" s="72">
        <v>85.7</v>
      </c>
      <c r="K5" s="75"/>
      <c r="L5" s="75"/>
    </row>
    <row r="6" spans="3:21" ht="18.95">
      <c r="C6" s="14" t="s">
        <v>39</v>
      </c>
      <c r="D6" s="13">
        <v>500</v>
      </c>
      <c r="E6" s="71">
        <v>157.19999999999999</v>
      </c>
      <c r="F6" s="71">
        <v>118.5</v>
      </c>
      <c r="G6" s="71">
        <v>81.8</v>
      </c>
      <c r="H6" s="71">
        <v>135.13999999999999</v>
      </c>
      <c r="I6" s="72">
        <v>116.3</v>
      </c>
      <c r="J6" s="72">
        <v>71.8</v>
      </c>
      <c r="K6" s="75"/>
      <c r="L6" s="75"/>
      <c r="N6" s="76">
        <f t="shared" ref="N6:U6" si="0">AVERAGE(E5:E6)</f>
        <v>133.64999999999998</v>
      </c>
      <c r="O6" s="76">
        <f t="shared" si="0"/>
        <v>110.15</v>
      </c>
      <c r="P6" s="76">
        <f t="shared" si="0"/>
        <v>143.15</v>
      </c>
      <c r="Q6" s="76">
        <f t="shared" si="0"/>
        <v>166.62</v>
      </c>
      <c r="R6" s="76">
        <f t="shared" si="0"/>
        <v>132.55000000000001</v>
      </c>
      <c r="S6" s="76">
        <f t="shared" si="0"/>
        <v>78.75</v>
      </c>
      <c r="T6" s="76" t="e">
        <f t="shared" si="0"/>
        <v>#DIV/0!</v>
      </c>
      <c r="U6" s="76" t="e">
        <f t="shared" si="0"/>
        <v>#DIV/0!</v>
      </c>
    </row>
    <row r="7" spans="3:21" ht="18.95">
      <c r="C7" s="14" t="s">
        <v>41</v>
      </c>
      <c r="D7" s="13">
        <v>0</v>
      </c>
      <c r="E7" s="71">
        <v>91.4</v>
      </c>
      <c r="F7" s="71">
        <v>119.6</v>
      </c>
      <c r="G7" s="71">
        <v>190.9</v>
      </c>
      <c r="H7" s="71">
        <v>135.47399999999999</v>
      </c>
      <c r="I7" s="72">
        <v>134.80000000000001</v>
      </c>
      <c r="J7" s="72">
        <v>114.8</v>
      </c>
      <c r="K7" s="75"/>
      <c r="L7" s="75"/>
    </row>
    <row r="8" spans="3:21" ht="18.95">
      <c r="C8" s="14" t="s">
        <v>42</v>
      </c>
      <c r="D8" s="13">
        <v>500</v>
      </c>
      <c r="E8" s="71">
        <v>95.6</v>
      </c>
      <c r="F8" s="71">
        <v>59.6</v>
      </c>
      <c r="G8" s="71">
        <v>114</v>
      </c>
      <c r="H8" s="71">
        <v>76.716999999999999</v>
      </c>
      <c r="I8" s="72">
        <v>82.7</v>
      </c>
      <c r="J8" s="72">
        <v>43.9</v>
      </c>
      <c r="K8" s="75"/>
      <c r="L8" s="75"/>
      <c r="N8" s="76">
        <f t="shared" ref="N8:U8" si="1">AVERAGE(E7:E8)</f>
        <v>93.5</v>
      </c>
      <c r="O8" s="76">
        <f t="shared" si="1"/>
        <v>89.6</v>
      </c>
      <c r="P8" s="76">
        <f t="shared" si="1"/>
        <v>152.44999999999999</v>
      </c>
      <c r="Q8" s="76">
        <f t="shared" si="1"/>
        <v>106.09549999999999</v>
      </c>
      <c r="R8" s="76">
        <f t="shared" si="1"/>
        <v>108.75</v>
      </c>
      <c r="S8" s="76">
        <f t="shared" si="1"/>
        <v>79.349999999999994</v>
      </c>
      <c r="T8" s="76" t="e">
        <f t="shared" si="1"/>
        <v>#DIV/0!</v>
      </c>
      <c r="U8" s="76" t="e">
        <f t="shared" si="1"/>
        <v>#DIV/0!</v>
      </c>
    </row>
    <row r="9" spans="3:21" ht="18.95">
      <c r="C9" s="14" t="s">
        <v>44</v>
      </c>
      <c r="D9" s="13">
        <v>0</v>
      </c>
      <c r="E9" s="71">
        <v>117.8</v>
      </c>
      <c r="F9" s="71">
        <v>94</v>
      </c>
      <c r="G9" s="71">
        <v>84.6</v>
      </c>
      <c r="H9" s="71">
        <v>46.973999999999997</v>
      </c>
      <c r="I9" s="72">
        <v>62.5</v>
      </c>
      <c r="J9" s="72">
        <v>64.3</v>
      </c>
      <c r="K9" s="75"/>
      <c r="L9" s="75"/>
    </row>
    <row r="10" spans="3:21" ht="18.95">
      <c r="C10" s="14" t="s">
        <v>45</v>
      </c>
      <c r="D10" s="13">
        <v>500</v>
      </c>
      <c r="E10" s="71">
        <v>105.6</v>
      </c>
      <c r="F10" s="71">
        <v>23.9</v>
      </c>
      <c r="G10" s="71">
        <v>29.1</v>
      </c>
      <c r="H10" s="71">
        <v>16.591000000000001</v>
      </c>
      <c r="I10" s="72">
        <v>4.8</v>
      </c>
      <c r="J10" s="72">
        <v>9.6</v>
      </c>
      <c r="K10" s="75"/>
      <c r="L10" s="75"/>
      <c r="N10" s="76">
        <f t="shared" ref="N10:U10" si="2">AVERAGE(E9:E10)</f>
        <v>111.69999999999999</v>
      </c>
      <c r="O10" s="76">
        <f t="shared" si="2"/>
        <v>58.95</v>
      </c>
      <c r="P10" s="76">
        <f t="shared" si="2"/>
        <v>56.849999999999994</v>
      </c>
      <c r="Q10" s="76">
        <f t="shared" si="2"/>
        <v>31.782499999999999</v>
      </c>
      <c r="R10" s="76">
        <f t="shared" si="2"/>
        <v>33.65</v>
      </c>
      <c r="S10" s="76">
        <f t="shared" si="2"/>
        <v>36.949999999999996</v>
      </c>
      <c r="T10" s="76" t="e">
        <f t="shared" si="2"/>
        <v>#DIV/0!</v>
      </c>
      <c r="U10" s="76" t="e">
        <f t="shared" si="2"/>
        <v>#DIV/0!</v>
      </c>
    </row>
    <row r="11" spans="3:21" ht="18.95">
      <c r="C11" s="14" t="s">
        <v>47</v>
      </c>
      <c r="D11" s="13">
        <v>0</v>
      </c>
      <c r="E11" s="71">
        <v>107.6</v>
      </c>
      <c r="F11" s="71">
        <v>53.6</v>
      </c>
      <c r="G11" s="71">
        <v>42.5</v>
      </c>
      <c r="H11" s="71">
        <v>29.765000000000001</v>
      </c>
      <c r="I11" s="72">
        <v>9.6999999999999993</v>
      </c>
      <c r="J11" s="72">
        <v>15.3</v>
      </c>
      <c r="K11" s="75"/>
      <c r="L11" s="75"/>
    </row>
    <row r="12" spans="3:21" ht="18.95">
      <c r="C12" s="14" t="s">
        <v>48</v>
      </c>
      <c r="D12" s="13">
        <v>500</v>
      </c>
      <c r="E12" s="71">
        <v>117.5</v>
      </c>
      <c r="F12" s="71">
        <v>70.900000000000006</v>
      </c>
      <c r="G12" s="71">
        <v>29.2</v>
      </c>
      <c r="H12" s="71">
        <v>73.472999999999999</v>
      </c>
      <c r="I12" s="72">
        <v>50.3</v>
      </c>
      <c r="J12" s="72">
        <v>28.2</v>
      </c>
      <c r="K12" s="75"/>
      <c r="L12" s="75"/>
      <c r="N12" s="76">
        <f t="shared" ref="N12:U12" si="3">AVERAGE(E11:E12)</f>
        <v>112.55</v>
      </c>
      <c r="O12" s="76">
        <f t="shared" si="3"/>
        <v>62.25</v>
      </c>
      <c r="P12" s="76">
        <f t="shared" si="3"/>
        <v>35.85</v>
      </c>
      <c r="Q12" s="76">
        <f t="shared" si="3"/>
        <v>51.619</v>
      </c>
      <c r="R12" s="76">
        <f t="shared" si="3"/>
        <v>30</v>
      </c>
      <c r="S12" s="76">
        <f t="shared" si="3"/>
        <v>21.75</v>
      </c>
      <c r="T12" s="76" t="e">
        <f t="shared" si="3"/>
        <v>#DIV/0!</v>
      </c>
      <c r="U12" s="76" t="e">
        <f t="shared" si="3"/>
        <v>#DIV/0!</v>
      </c>
    </row>
    <row r="13" spans="3:21" ht="18.95">
      <c r="C13" s="14" t="s">
        <v>50</v>
      </c>
      <c r="D13" s="13">
        <v>0</v>
      </c>
      <c r="E13" s="71">
        <v>111.8</v>
      </c>
      <c r="F13" s="71">
        <v>25.5</v>
      </c>
      <c r="G13" s="71">
        <v>13.2</v>
      </c>
      <c r="H13" s="71">
        <v>9.3780000000000001</v>
      </c>
      <c r="I13" s="72">
        <v>1.8</v>
      </c>
      <c r="J13" s="72">
        <v>0</v>
      </c>
      <c r="K13" s="75"/>
      <c r="L13" s="75"/>
    </row>
    <row r="14" spans="3:21" ht="18.95">
      <c r="C14" s="14" t="s">
        <v>51</v>
      </c>
      <c r="D14" s="13">
        <v>500</v>
      </c>
      <c r="E14" s="71">
        <v>81.5</v>
      </c>
      <c r="F14" s="71">
        <v>14.6</v>
      </c>
      <c r="G14" s="71">
        <v>46.9</v>
      </c>
      <c r="H14" s="71">
        <v>7.423</v>
      </c>
      <c r="I14" s="72">
        <v>4.9000000000000004</v>
      </c>
      <c r="J14" s="72">
        <v>7.7</v>
      </c>
      <c r="K14" s="75"/>
      <c r="L14" s="75"/>
      <c r="N14" s="76">
        <f t="shared" ref="N14:U14" si="4">AVERAGE(E13:E14)</f>
        <v>96.65</v>
      </c>
      <c r="O14" s="76">
        <f t="shared" si="4"/>
        <v>20.05</v>
      </c>
      <c r="P14" s="76">
        <f t="shared" si="4"/>
        <v>30.049999999999997</v>
      </c>
      <c r="Q14" s="76">
        <f t="shared" si="4"/>
        <v>8.400500000000001</v>
      </c>
      <c r="R14" s="76">
        <f t="shared" si="4"/>
        <v>3.35</v>
      </c>
      <c r="S14" s="76">
        <f t="shared" si="4"/>
        <v>3.85</v>
      </c>
      <c r="T14" s="76" t="e">
        <f t="shared" si="4"/>
        <v>#DIV/0!</v>
      </c>
      <c r="U14" s="76" t="e">
        <f t="shared" si="4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2019-11-06T15:27:37Z</dcterms:created>
  <dcterms:modified xsi:type="dcterms:W3CDTF">2026-09-16T14:55:04Z</dcterms:modified>
  <cp:category/>
  <cp:contentStatus/>
</cp:coreProperties>
</file>